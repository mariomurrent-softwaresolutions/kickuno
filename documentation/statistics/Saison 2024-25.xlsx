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Privat\Fußball\"/>
    </mc:Choice>
  </mc:AlternateContent>
  <xr:revisionPtr revIDLastSave="0" documentId="13_ncr:1_{EE5B5E26-99A1-4666-A8BF-A0F12BD26A0E}" xr6:coauthVersionLast="47" xr6:coauthVersionMax="47" xr10:uidLastSave="{00000000-0000-0000-0000-000000000000}"/>
  <bookViews>
    <workbookView xWindow="28680" yWindow="-120" windowWidth="29040" windowHeight="17520" tabRatio="691" xr2:uid="{00000000-000D-0000-FFFF-FFFF00000000}"/>
  </bookViews>
  <sheets>
    <sheet name="Rangliste" sheetId="12" r:id="rId1"/>
    <sheet name="Rangliste (2)" sheetId="1" r:id="rId2"/>
    <sheet name="Begegnungen" sheetId="3" r:id="rId3"/>
    <sheet name="Tore" sheetId="8" r:id="rId4"/>
    <sheet name="Tore (2)" sheetId="10" r:id="rId5"/>
    <sheet name="Spiele" sheetId="2" r:id="rId6"/>
    <sheet name="Gegentore" sheetId="9" r:id="rId7"/>
    <sheet name="Teamtore" sheetId="11" r:id="rId8"/>
    <sheet name="Anwesenheit" sheetId="6" r:id="rId9"/>
    <sheet name="Geburtstage" sheetId="7" r:id="rId10"/>
    <sheet name="Statistik" sheetId="14" r:id="rId11"/>
    <sheet name="Spieler-Statistik" sheetId="15" r:id="rId12"/>
    <sheet name="MotY" sheetId="16" r:id="rId13"/>
  </sheets>
  <definedNames>
    <definedName name="_xlnm._FilterDatabase" localSheetId="0" hidden="1">Rangliste!$I$1:$I$19</definedName>
    <definedName name="_xlnm._FilterDatabase" localSheetId="1" hidden="1">'Rangliste (2)'!$I$1:$I$19</definedName>
    <definedName name="_xlnm.Print_Area" localSheetId="12">MotY!$A$1:$H$23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8" l="1"/>
  <c r="G47" i="8"/>
  <c r="H309" i="3"/>
  <c r="B309" i="3"/>
  <c r="W6" i="8"/>
  <c r="X29" i="6"/>
  <c r="X28" i="6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AP26" i="2"/>
  <c r="AO26" i="2"/>
  <c r="AN26" i="2"/>
  <c r="AM26" i="2"/>
  <c r="AL26" i="2"/>
  <c r="AE26" i="2"/>
  <c r="AD26" i="2"/>
  <c r="AC26" i="2"/>
  <c r="Y26" i="2"/>
  <c r="V26" i="2"/>
  <c r="R26" i="2"/>
  <c r="Q26" i="2"/>
  <c r="O26" i="2"/>
  <c r="N26" i="2"/>
  <c r="M26" i="2"/>
  <c r="L26" i="2"/>
  <c r="K26" i="2"/>
  <c r="J26" i="2"/>
  <c r="I26" i="2"/>
  <c r="H26" i="2"/>
  <c r="G26" i="2"/>
  <c r="F26" i="2"/>
  <c r="E26" i="2"/>
  <c r="D26" i="2"/>
  <c r="AJ25" i="2"/>
  <c r="AH25" i="2"/>
  <c r="AC25" i="2"/>
  <c r="AB25" i="2"/>
  <c r="AA25" i="2"/>
  <c r="Z25" i="2"/>
  <c r="Y25" i="2"/>
  <c r="X25" i="2"/>
  <c r="W25" i="2"/>
  <c r="V25" i="2"/>
  <c r="T25" i="2"/>
  <c r="S25" i="2"/>
  <c r="O25" i="2"/>
  <c r="N25" i="2"/>
  <c r="M25" i="2"/>
  <c r="L25" i="2"/>
  <c r="K25" i="2"/>
  <c r="J25" i="2"/>
  <c r="I25" i="2"/>
  <c r="H25" i="2"/>
  <c r="G25" i="2"/>
  <c r="F25" i="2"/>
  <c r="E25" i="2"/>
  <c r="D25" i="2"/>
  <c r="I48" i="8"/>
  <c r="G48" i="8"/>
  <c r="O44" i="8"/>
  <c r="X27" i="6"/>
  <c r="X26" i="6"/>
  <c r="X25" i="6"/>
  <c r="X22" i="6"/>
  <c r="X24" i="6"/>
  <c r="X23" i="6"/>
  <c r="X19" i="6"/>
  <c r="X21" i="6"/>
  <c r="X20" i="6"/>
  <c r="X18" i="6"/>
  <c r="X14" i="6"/>
  <c r="X16" i="6"/>
  <c r="X17" i="6"/>
  <c r="X15" i="6"/>
  <c r="X13" i="6"/>
  <c r="X12" i="6"/>
  <c r="X11" i="6"/>
  <c r="X10" i="6"/>
  <c r="X9" i="6"/>
  <c r="X8" i="6"/>
  <c r="X7" i="6"/>
  <c r="X6" i="6"/>
  <c r="AR24" i="11" l="1"/>
  <c r="K22" i="1" s="1"/>
  <c r="K7" i="12" s="1"/>
  <c r="AR24" i="9"/>
  <c r="L22" i="1" s="1"/>
  <c r="L7" i="12" s="1"/>
  <c r="AR25" i="9"/>
  <c r="AR25" i="11"/>
  <c r="AN24" i="2"/>
  <c r="AM24" i="2"/>
  <c r="AJ24" i="2"/>
  <c r="Z24" i="2"/>
  <c r="L24" i="2"/>
  <c r="I24" i="2"/>
  <c r="M22" i="1" l="1"/>
  <c r="M7" i="12" s="1"/>
  <c r="I46" i="8"/>
  <c r="G46" i="8"/>
  <c r="I45" i="8"/>
  <c r="G45" i="8"/>
  <c r="B68" i="3"/>
  <c r="AT25" i="10" l="1"/>
  <c r="AT24" i="10"/>
  <c r="AS24" i="8"/>
  <c r="AR24" i="8"/>
  <c r="AQ24" i="8"/>
  <c r="AP24" i="8"/>
  <c r="AO24" i="8"/>
  <c r="AN24" i="8"/>
  <c r="AM24" i="8"/>
  <c r="AL24" i="8"/>
  <c r="AK24" i="8"/>
  <c r="AJ24" i="8"/>
  <c r="AI24" i="8"/>
  <c r="AG24" i="8"/>
  <c r="AF24" i="8"/>
  <c r="AE24" i="8"/>
  <c r="AD24" i="8"/>
  <c r="AC24" i="8"/>
  <c r="AB24" i="8"/>
  <c r="AA24" i="8"/>
  <c r="Z24" i="8"/>
  <c r="Y24" i="8"/>
  <c r="X24" i="8"/>
  <c r="W24" i="8"/>
  <c r="U24" i="8"/>
  <c r="T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AT24" i="8" l="1"/>
  <c r="AS6" i="8"/>
  <c r="AS12" i="8"/>
  <c r="AS19" i="8"/>
  <c r="AS11" i="8"/>
  <c r="AS23" i="8"/>
  <c r="AS9" i="8"/>
  <c r="AS21" i="8"/>
  <c r="AS20" i="8"/>
  <c r="AS22" i="8"/>
  <c r="AS7" i="8"/>
  <c r="AS17" i="8"/>
  <c r="AS10" i="8"/>
  <c r="AS16" i="8"/>
  <c r="AS8" i="8"/>
  <c r="AS18" i="8"/>
  <c r="AS15" i="8"/>
  <c r="AS14" i="8"/>
  <c r="AS13" i="8"/>
  <c r="O12" i="8"/>
  <c r="O19" i="8"/>
  <c r="O11" i="8"/>
  <c r="O23" i="8"/>
  <c r="O9" i="8"/>
  <c r="O21" i="8"/>
  <c r="O20" i="8"/>
  <c r="O17" i="8"/>
  <c r="O18" i="8"/>
  <c r="N6" i="8"/>
  <c r="N12" i="8"/>
  <c r="N19" i="8"/>
  <c r="N11" i="8"/>
  <c r="N23" i="8"/>
  <c r="N21" i="8"/>
  <c r="N20" i="8"/>
  <c r="N22" i="8"/>
  <c r="N7" i="8"/>
  <c r="N17" i="8"/>
  <c r="N14" i="8"/>
  <c r="M6" i="8"/>
  <c r="M12" i="8"/>
  <c r="M19" i="8"/>
  <c r="M23" i="8"/>
  <c r="M21" i="8"/>
  <c r="M20" i="8"/>
  <c r="M22" i="8"/>
  <c r="M18" i="8"/>
  <c r="L6" i="8"/>
  <c r="L12" i="8"/>
  <c r="L19" i="8"/>
  <c r="L11" i="8"/>
  <c r="L23" i="8"/>
  <c r="L21" i="8"/>
  <c r="L20" i="8"/>
  <c r="L22" i="8"/>
  <c r="L17" i="8"/>
  <c r="L18" i="8"/>
  <c r="L14" i="8"/>
  <c r="AQ13" i="8"/>
  <c r="P14" i="8"/>
  <c r="Q14" i="8"/>
  <c r="T14" i="8"/>
  <c r="V14" i="8"/>
  <c r="W14" i="8"/>
  <c r="X14" i="8"/>
  <c r="Z14" i="8"/>
  <c r="AD14" i="8"/>
  <c r="AJ14" i="8"/>
  <c r="AK14" i="8"/>
  <c r="AM14" i="8"/>
  <c r="AN14" i="8"/>
  <c r="AO14" i="8"/>
  <c r="AP14" i="8"/>
  <c r="Q15" i="8"/>
  <c r="V15" i="8"/>
  <c r="X15" i="8"/>
  <c r="AG15" i="8"/>
  <c r="AI15" i="8"/>
  <c r="AL15" i="8"/>
  <c r="AM15" i="8"/>
  <c r="AN15" i="8"/>
  <c r="AO15" i="8"/>
  <c r="AP15" i="8"/>
  <c r="AQ15" i="8"/>
  <c r="AR15" i="8"/>
  <c r="P18" i="8"/>
  <c r="Q18" i="8"/>
  <c r="R18" i="8"/>
  <c r="T18" i="8"/>
  <c r="U18" i="8"/>
  <c r="W18" i="8"/>
  <c r="X18" i="8"/>
  <c r="Z18" i="8"/>
  <c r="AC18" i="8"/>
  <c r="AD18" i="8"/>
  <c r="AG18" i="8"/>
  <c r="AI18" i="8"/>
  <c r="AJ18" i="8"/>
  <c r="AK18" i="8"/>
  <c r="AM18" i="8"/>
  <c r="AN18" i="8"/>
  <c r="AO18" i="8"/>
  <c r="AP18" i="8"/>
  <c r="AQ18" i="8"/>
  <c r="AR18" i="8"/>
  <c r="P8" i="8"/>
  <c r="AE8" i="8"/>
  <c r="AJ8" i="8"/>
  <c r="AK8" i="8"/>
  <c r="AL8" i="8"/>
  <c r="AM8" i="8"/>
  <c r="AN8" i="8"/>
  <c r="AP8" i="8"/>
  <c r="AQ8" i="8"/>
  <c r="P16" i="8"/>
  <c r="Z16" i="8"/>
  <c r="AB16" i="8"/>
  <c r="AC16" i="8"/>
  <c r="AH16" i="8"/>
  <c r="AI16" i="8"/>
  <c r="AJ16" i="8"/>
  <c r="AK16" i="8"/>
  <c r="AL16" i="8"/>
  <c r="AM16" i="8"/>
  <c r="AN16" i="8"/>
  <c r="AO16" i="8"/>
  <c r="AP16" i="8"/>
  <c r="AR16" i="8"/>
  <c r="AB10" i="8"/>
  <c r="AG10" i="8"/>
  <c r="AK10" i="8"/>
  <c r="AM10" i="8"/>
  <c r="AO10" i="8"/>
  <c r="AP10" i="8"/>
  <c r="AR10" i="8"/>
  <c r="P17" i="8"/>
  <c r="Q17" i="8"/>
  <c r="R17" i="8"/>
  <c r="S17" i="8"/>
  <c r="T17" i="8"/>
  <c r="U17" i="8"/>
  <c r="V17" i="8"/>
  <c r="W17" i="8"/>
  <c r="X17" i="8"/>
  <c r="Y17" i="8"/>
  <c r="Z17" i="8"/>
  <c r="AA17" i="8"/>
  <c r="AC17" i="8"/>
  <c r="AD17" i="8"/>
  <c r="AH17" i="8"/>
  <c r="AI17" i="8"/>
  <c r="AJ17" i="8"/>
  <c r="AK17" i="8"/>
  <c r="AL17" i="8"/>
  <c r="AM17" i="8"/>
  <c r="AN17" i="8"/>
  <c r="AO17" i="8"/>
  <c r="AP17" i="8"/>
  <c r="AQ17" i="8"/>
  <c r="AR17" i="8"/>
  <c r="T7" i="8"/>
  <c r="V7" i="8"/>
  <c r="W7" i="8"/>
  <c r="AH7" i="8"/>
  <c r="AI7" i="8"/>
  <c r="AJ7" i="8"/>
  <c r="AO7" i="8"/>
  <c r="AR7" i="8"/>
  <c r="P22" i="8"/>
  <c r="W22" i="8"/>
  <c r="Z22" i="8"/>
  <c r="AA22" i="8"/>
  <c r="AB22" i="8"/>
  <c r="AH22" i="8"/>
  <c r="AJ22" i="8"/>
  <c r="AK22" i="8"/>
  <c r="AN22" i="8"/>
  <c r="AO22" i="8"/>
  <c r="AP22" i="8"/>
  <c r="AR22" i="8"/>
  <c r="P20" i="8"/>
  <c r="Q20" i="8"/>
  <c r="R20" i="8"/>
  <c r="S20" i="8"/>
  <c r="T20" i="8"/>
  <c r="V20" i="8"/>
  <c r="W20" i="8"/>
  <c r="X20" i="8"/>
  <c r="Y20" i="8"/>
  <c r="Z20" i="8"/>
  <c r="AC20" i="8"/>
  <c r="AD20" i="8"/>
  <c r="AF20" i="8"/>
  <c r="AI20" i="8"/>
  <c r="AM20" i="8"/>
  <c r="AN20" i="8"/>
  <c r="AO20" i="8"/>
  <c r="AP20" i="8"/>
  <c r="AQ20" i="8"/>
  <c r="AR20" i="8"/>
  <c r="P21" i="8"/>
  <c r="Q21" i="8"/>
  <c r="R21" i="8"/>
  <c r="S21" i="8"/>
  <c r="T21" i="8"/>
  <c r="U21" i="8"/>
  <c r="V21" i="8"/>
  <c r="W21" i="8"/>
  <c r="X21" i="8"/>
  <c r="Y21" i="8"/>
  <c r="Z21" i="8"/>
  <c r="AC21" i="8"/>
  <c r="AD21" i="8"/>
  <c r="AE21" i="8"/>
  <c r="AF21" i="8"/>
  <c r="AG21" i="8"/>
  <c r="AI21" i="8"/>
  <c r="AJ21" i="8"/>
  <c r="AK21" i="8"/>
  <c r="AL21" i="8"/>
  <c r="AM21" i="8"/>
  <c r="AN21" i="8"/>
  <c r="AO21" i="8"/>
  <c r="AP21" i="8"/>
  <c r="AQ21" i="8"/>
  <c r="AR21" i="8"/>
  <c r="R9" i="8"/>
  <c r="AF9" i="8"/>
  <c r="AI9" i="8"/>
  <c r="AJ9" i="8"/>
  <c r="AL9" i="8"/>
  <c r="AN9" i="8"/>
  <c r="AO9" i="8"/>
  <c r="AP9" i="8"/>
  <c r="AQ9" i="8"/>
  <c r="P23" i="8"/>
  <c r="Q23" i="8"/>
  <c r="R23" i="8"/>
  <c r="S23" i="8"/>
  <c r="T23" i="8"/>
  <c r="U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R11" i="8"/>
  <c r="S11" i="8"/>
  <c r="T11" i="8"/>
  <c r="U11" i="8"/>
  <c r="W11" i="8"/>
  <c r="X11" i="8"/>
  <c r="Y11" i="8"/>
  <c r="Z11" i="8"/>
  <c r="AA11" i="8"/>
  <c r="AB11" i="8"/>
  <c r="AC11" i="8"/>
  <c r="AD11" i="8"/>
  <c r="AH11" i="8"/>
  <c r="AI11" i="8"/>
  <c r="AK11" i="8"/>
  <c r="AN11" i="8"/>
  <c r="AO11" i="8"/>
  <c r="AP11" i="8"/>
  <c r="AR11" i="8"/>
  <c r="P19" i="8"/>
  <c r="Q19" i="8"/>
  <c r="R19" i="8"/>
  <c r="S19" i="8"/>
  <c r="T19" i="8"/>
  <c r="V19" i="8"/>
  <c r="W19" i="8"/>
  <c r="X19" i="8"/>
  <c r="Y19" i="8"/>
  <c r="Z19" i="8"/>
  <c r="AA19" i="8"/>
  <c r="AB19" i="8"/>
  <c r="AC19" i="8"/>
  <c r="AD19" i="8"/>
  <c r="AF19" i="8"/>
  <c r="AH19" i="8"/>
  <c r="AI19" i="8"/>
  <c r="AM19" i="8"/>
  <c r="AN19" i="8"/>
  <c r="AO19" i="8"/>
  <c r="AP19" i="8"/>
  <c r="AQ19" i="8"/>
  <c r="AR19" i="8"/>
  <c r="Q12" i="8"/>
  <c r="R12" i="8"/>
  <c r="S12" i="8"/>
  <c r="T12" i="8"/>
  <c r="V12" i="8"/>
  <c r="W12" i="8"/>
  <c r="Y12" i="8"/>
  <c r="Z12" i="8"/>
  <c r="AC12" i="8"/>
  <c r="AD12" i="8"/>
  <c r="AF12" i="8"/>
  <c r="AI12" i="8"/>
  <c r="AJ12" i="8"/>
  <c r="AL12" i="8"/>
  <c r="AM12" i="8"/>
  <c r="AN12" i="8"/>
  <c r="AO12" i="8"/>
  <c r="AP12" i="8"/>
  <c r="AQ12" i="8"/>
  <c r="AR12" i="8"/>
  <c r="P6" i="8"/>
  <c r="Z6" i="8"/>
  <c r="AA6" i="8"/>
  <c r="AB6" i="8"/>
  <c r="AH6" i="8"/>
  <c r="AJ6" i="8"/>
  <c r="AK6" i="8"/>
  <c r="AN6" i="8"/>
  <c r="AO6" i="8"/>
  <c r="AP6" i="8"/>
  <c r="AR6" i="8"/>
  <c r="H21" i="11" l="1"/>
  <c r="H21" i="9"/>
  <c r="J13" i="8" l="1"/>
  <c r="I13" i="8"/>
  <c r="K22" i="8"/>
  <c r="J22" i="8"/>
  <c r="H22" i="8"/>
  <c r="F22" i="8"/>
  <c r="I44" i="8" l="1"/>
  <c r="G44" i="8"/>
  <c r="I43" i="8"/>
  <c r="G43" i="8"/>
  <c r="K6" i="8" l="1"/>
  <c r="J6" i="8"/>
  <c r="H6" i="8"/>
  <c r="K21" i="8"/>
  <c r="J21" i="8"/>
  <c r="I21" i="8"/>
  <c r="H21" i="8"/>
  <c r="K12" i="8"/>
  <c r="I12" i="8"/>
  <c r="H12" i="8"/>
  <c r="K19" i="8"/>
  <c r="J19" i="8"/>
  <c r="I19" i="8"/>
  <c r="H19" i="8"/>
  <c r="G19" i="8"/>
  <c r="K23" i="8"/>
  <c r="J23" i="8"/>
  <c r="I23" i="8"/>
  <c r="H23" i="8"/>
  <c r="G23" i="8"/>
  <c r="K11" i="8"/>
  <c r="H7" i="8"/>
  <c r="K20" i="8"/>
  <c r="J20" i="8"/>
  <c r="I20" i="8"/>
  <c r="H20" i="8"/>
  <c r="G20" i="8"/>
  <c r="I17" i="8"/>
  <c r="H17" i="8"/>
  <c r="G17" i="8"/>
  <c r="K9" i="8"/>
  <c r="J18" i="8"/>
  <c r="I18" i="8"/>
  <c r="H18" i="8"/>
  <c r="G18" i="8"/>
  <c r="G8" i="8"/>
  <c r="G16" i="8"/>
  <c r="M5" i="10" l="1"/>
  <c r="N5" i="10"/>
  <c r="O5" i="10"/>
  <c r="P5" i="10"/>
  <c r="M5" i="8"/>
  <c r="N5" i="8"/>
  <c r="O5" i="8"/>
  <c r="P5" i="8"/>
  <c r="G42" i="8" l="1"/>
  <c r="I42" i="8"/>
  <c r="D6" i="2" l="1"/>
  <c r="H28" i="8" l="1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27" i="8"/>
  <c r="F19" i="8" l="1"/>
  <c r="F10" i="8"/>
  <c r="F17" i="8"/>
  <c r="F12" i="8"/>
  <c r="F21" i="8"/>
  <c r="F9" i="8"/>
  <c r="F20" i="8"/>
  <c r="F6" i="8"/>
  <c r="F23" i="8"/>
  <c r="F11" i="8"/>
  <c r="E17" i="8"/>
  <c r="E12" i="8"/>
  <c r="E21" i="8"/>
  <c r="E18" i="8"/>
  <c r="E20" i="8"/>
  <c r="E16" i="8"/>
  <c r="E23" i="8"/>
  <c r="E11" i="8"/>
  <c r="E19" i="8"/>
  <c r="AQ5" i="8"/>
  <c r="AR5" i="8"/>
  <c r="AQ5" i="10"/>
  <c r="AR5" i="10"/>
  <c r="I41" i="8" l="1"/>
  <c r="G41" i="8" l="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 l="1"/>
  <c r="AR23" i="11"/>
  <c r="G39" i="8"/>
  <c r="K15" i="1" l="1"/>
  <c r="K15" i="12" s="1"/>
  <c r="K21" i="1"/>
  <c r="L15" i="1"/>
  <c r="L21" i="1"/>
  <c r="L14" i="12" s="1"/>
  <c r="H293" i="3"/>
  <c r="M15" i="1" l="1"/>
  <c r="K14" i="12"/>
  <c r="M21" i="1"/>
  <c r="M14" i="12" s="1"/>
  <c r="AT18" i="10"/>
  <c r="AT9" i="8" l="1"/>
  <c r="O22" i="11" l="1"/>
  <c r="O22" i="9"/>
  <c r="AQ8" i="2" l="1"/>
  <c r="AQ13" i="2"/>
  <c r="AQ14" i="2"/>
  <c r="AQ15" i="2"/>
  <c r="AQ17" i="2"/>
  <c r="AQ18" i="2"/>
  <c r="AQ19" i="2"/>
  <c r="AQ20" i="2"/>
  <c r="AP8" i="2"/>
  <c r="AP10" i="2"/>
  <c r="AP11" i="2"/>
  <c r="AP13" i="2"/>
  <c r="AP14" i="2"/>
  <c r="AP15" i="2"/>
  <c r="AP18" i="2"/>
  <c r="AP20" i="2"/>
  <c r="AO13" i="2"/>
  <c r="AO14" i="2"/>
  <c r="AN13" i="2"/>
  <c r="AN14" i="2"/>
  <c r="AM8" i="2"/>
  <c r="AM13" i="2"/>
  <c r="AM14" i="2"/>
  <c r="AM15" i="2"/>
  <c r="AM20" i="2"/>
  <c r="AL13" i="2"/>
  <c r="AL14" i="2"/>
  <c r="AL17" i="2"/>
  <c r="AL20" i="2"/>
  <c r="AK13" i="2"/>
  <c r="AK14" i="2"/>
  <c r="AK20" i="2"/>
  <c r="AJ13" i="2"/>
  <c r="AJ19" i="2"/>
  <c r="AI13" i="2"/>
  <c r="AI14" i="2"/>
  <c r="AH13" i="2"/>
  <c r="AH14" i="2"/>
  <c r="AG20" i="2"/>
  <c r="AF13" i="2"/>
  <c r="AF14" i="2"/>
  <c r="AF20" i="2"/>
  <c r="AE13" i="2"/>
  <c r="AE20" i="2"/>
  <c r="AD13" i="2"/>
  <c r="AD14" i="2"/>
  <c r="AC13" i="2"/>
  <c r="AC14" i="2"/>
  <c r="AC18" i="2"/>
  <c r="AC20" i="2"/>
  <c r="AB13" i="2"/>
  <c r="AB20" i="2"/>
  <c r="AA13" i="2"/>
  <c r="Z13" i="2"/>
  <c r="Z20" i="2"/>
  <c r="Y13" i="2"/>
  <c r="Y14" i="2"/>
  <c r="X13" i="2"/>
  <c r="X18" i="2"/>
  <c r="W13" i="2"/>
  <c r="W14" i="2"/>
  <c r="W20" i="2"/>
  <c r="V13" i="2"/>
  <c r="V14" i="2"/>
  <c r="U14" i="2"/>
  <c r="T14" i="2"/>
  <c r="T20" i="2"/>
  <c r="S20" i="2"/>
  <c r="R20" i="2"/>
  <c r="Q13" i="2"/>
  <c r="Q14" i="2"/>
  <c r="Q20" i="2"/>
  <c r="P13" i="2"/>
  <c r="P14" i="2"/>
  <c r="P20" i="2"/>
  <c r="O13" i="2"/>
  <c r="N20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W6" i="2"/>
  <c r="V6" i="2"/>
  <c r="T6" i="2"/>
  <c r="N6" i="2"/>
  <c r="M6" i="2"/>
  <c r="L14" i="2"/>
  <c r="L6" i="2"/>
  <c r="X5" i="11" l="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T37" i="8" l="1"/>
  <c r="I7" i="11" l="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6" i="11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6" i="9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2" i="11"/>
  <c r="H6" i="11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2" i="9"/>
  <c r="H6" i="9"/>
  <c r="G6" i="11"/>
  <c r="AQ7" i="11" l="1"/>
  <c r="AQ8" i="11"/>
  <c r="AQ9" i="11"/>
  <c r="AQ10" i="11"/>
  <c r="AQ11" i="11"/>
  <c r="AQ12" i="11"/>
  <c r="AQ13" i="11"/>
  <c r="AQ14" i="11"/>
  <c r="AQ15" i="11"/>
  <c r="AQ16" i="11"/>
  <c r="AQ17" i="11"/>
  <c r="AQ18" i="11"/>
  <c r="AQ20" i="11"/>
  <c r="AQ21" i="11"/>
  <c r="AQ22" i="11"/>
  <c r="AQ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20" i="11"/>
  <c r="AP21" i="11"/>
  <c r="AP22" i="11"/>
  <c r="AP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20" i="11"/>
  <c r="AO21" i="11"/>
  <c r="AO22" i="11"/>
  <c r="AO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20" i="11"/>
  <c r="AN21" i="11"/>
  <c r="AN22" i="11"/>
  <c r="AN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20" i="11"/>
  <c r="AM21" i="11"/>
  <c r="AM22" i="11"/>
  <c r="AM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20" i="11"/>
  <c r="AL21" i="11"/>
  <c r="AL22" i="11"/>
  <c r="AL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20" i="11"/>
  <c r="AK21" i="11"/>
  <c r="AK22" i="11"/>
  <c r="AK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20" i="11"/>
  <c r="AJ21" i="11"/>
  <c r="AJ22" i="11"/>
  <c r="AJ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20" i="11"/>
  <c r="AI21" i="11"/>
  <c r="AI22" i="11"/>
  <c r="AI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20" i="11"/>
  <c r="AH21" i="11"/>
  <c r="AH22" i="11"/>
  <c r="AH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20" i="11"/>
  <c r="AG21" i="11"/>
  <c r="AG22" i="11"/>
  <c r="AG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20" i="11"/>
  <c r="AF21" i="11"/>
  <c r="AF22" i="11"/>
  <c r="AF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20" i="11"/>
  <c r="AE21" i="11"/>
  <c r="AE22" i="11"/>
  <c r="AE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20" i="11"/>
  <c r="AD21" i="11"/>
  <c r="AD22" i="11"/>
  <c r="AD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20" i="11"/>
  <c r="AC21" i="11"/>
  <c r="AC22" i="11"/>
  <c r="AC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20" i="11"/>
  <c r="AB21" i="11"/>
  <c r="AB22" i="11"/>
  <c r="AB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20" i="11"/>
  <c r="AA21" i="11"/>
  <c r="AA22" i="11"/>
  <c r="AA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20" i="11"/>
  <c r="Z21" i="11"/>
  <c r="Z22" i="11"/>
  <c r="Z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20" i="11"/>
  <c r="Y21" i="11"/>
  <c r="Y22" i="11"/>
  <c r="Y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20" i="11"/>
  <c r="X21" i="11"/>
  <c r="X22" i="11"/>
  <c r="X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20" i="11"/>
  <c r="W21" i="11"/>
  <c r="W22" i="11"/>
  <c r="W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20" i="11"/>
  <c r="V21" i="11"/>
  <c r="V22" i="11"/>
  <c r="V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20" i="11"/>
  <c r="U21" i="11"/>
  <c r="U22" i="11"/>
  <c r="U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20" i="11"/>
  <c r="T21" i="11"/>
  <c r="T22" i="11"/>
  <c r="T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20" i="11"/>
  <c r="R21" i="11"/>
  <c r="R22" i="11"/>
  <c r="R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20" i="11"/>
  <c r="Q21" i="11"/>
  <c r="Q22" i="11"/>
  <c r="Q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20" i="11"/>
  <c r="P21" i="11"/>
  <c r="P22" i="11"/>
  <c r="P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20" i="11"/>
  <c r="O21" i="11"/>
  <c r="O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20" i="11"/>
  <c r="N21" i="11"/>
  <c r="N22" i="11"/>
  <c r="N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20" i="11"/>
  <c r="M21" i="11"/>
  <c r="M22" i="11"/>
  <c r="M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20" i="11"/>
  <c r="L21" i="11"/>
  <c r="L22" i="11"/>
  <c r="L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6" i="11"/>
  <c r="D6" i="9"/>
  <c r="D7" i="9"/>
  <c r="R13" i="9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K16" i="9"/>
  <c r="E9" i="9"/>
  <c r="AU27" i="10"/>
  <c r="AT22" i="10"/>
  <c r="AT20" i="10"/>
  <c r="AT19" i="10"/>
  <c r="AT16" i="10"/>
  <c r="AT15" i="10"/>
  <c r="AT14" i="10"/>
  <c r="AT13" i="10"/>
  <c r="AT11" i="10"/>
  <c r="AT7" i="10"/>
  <c r="AT6" i="10"/>
  <c r="AT21" i="10"/>
  <c r="AT12" i="10"/>
  <c r="AT10" i="10"/>
  <c r="AT9" i="10"/>
  <c r="AT8" i="10"/>
  <c r="AT17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L5" i="10"/>
  <c r="K5" i="10"/>
  <c r="J5" i="10"/>
  <c r="I5" i="10"/>
  <c r="H5" i="10"/>
  <c r="G5" i="10"/>
  <c r="F5" i="10"/>
  <c r="E5" i="10"/>
  <c r="AR11" i="11" l="1"/>
  <c r="K8" i="1" s="1"/>
  <c r="AR8" i="11"/>
  <c r="K5" i="1" s="1"/>
  <c r="AR7" i="11"/>
  <c r="K4" i="1" s="1"/>
  <c r="AR12" i="11"/>
  <c r="K9" i="1" s="1"/>
  <c r="AR16" i="11"/>
  <c r="K13" i="1" s="1"/>
  <c r="AR20" i="11"/>
  <c r="K18" i="1" s="1"/>
  <c r="K19" i="12" s="1"/>
  <c r="AR15" i="11"/>
  <c r="K12" i="1" s="1"/>
  <c r="AR17" i="11"/>
  <c r="K14" i="1" s="1"/>
  <c r="AR9" i="11"/>
  <c r="AR21" i="11"/>
  <c r="AR13" i="11"/>
  <c r="AR22" i="11"/>
  <c r="AR18" i="11"/>
  <c r="AR14" i="11"/>
  <c r="AR10" i="11"/>
  <c r="AR6" i="11"/>
  <c r="AT23" i="10"/>
  <c r="AT27" i="10" s="1"/>
  <c r="D12" i="9"/>
  <c r="K3" i="12" l="1"/>
  <c r="K16" i="1"/>
  <c r="K20" i="12" s="1"/>
  <c r="K7" i="1"/>
  <c r="K5" i="12" s="1"/>
  <c r="K6" i="1"/>
  <c r="K12" i="12" s="1"/>
  <c r="K19" i="1"/>
  <c r="K20" i="1"/>
  <c r="K17" i="12" s="1"/>
  <c r="K11" i="1"/>
  <c r="K10" i="1"/>
  <c r="K3" i="1"/>
  <c r="K21" i="12" s="1"/>
  <c r="AT23" i="8"/>
  <c r="K22" i="12" l="1"/>
  <c r="K6" i="12"/>
  <c r="K8" i="12"/>
  <c r="K10" i="12"/>
  <c r="K11" i="12"/>
  <c r="K9" i="12"/>
  <c r="K16" i="12"/>
  <c r="AQ7" i="9"/>
  <c r="AQ8" i="9"/>
  <c r="AQ9" i="9"/>
  <c r="AQ10" i="9"/>
  <c r="AQ11" i="9"/>
  <c r="AQ12" i="9"/>
  <c r="AQ13" i="9"/>
  <c r="AQ14" i="9"/>
  <c r="AQ15" i="9"/>
  <c r="AQ16" i="9"/>
  <c r="AQ17" i="9"/>
  <c r="AQ18" i="9"/>
  <c r="AQ20" i="9"/>
  <c r="AQ21" i="9"/>
  <c r="AQ22" i="9"/>
  <c r="AQ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20" i="9"/>
  <c r="AP21" i="9"/>
  <c r="AP22" i="9"/>
  <c r="AP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20" i="9"/>
  <c r="AO21" i="9"/>
  <c r="AO22" i="9"/>
  <c r="AO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20" i="9"/>
  <c r="AN21" i="9"/>
  <c r="AN22" i="9"/>
  <c r="AN6" i="9"/>
  <c r="AM7" i="9"/>
  <c r="AM8" i="9"/>
  <c r="AM9" i="9"/>
  <c r="AM10" i="9"/>
  <c r="AM11" i="9"/>
  <c r="AM12" i="9"/>
  <c r="AM13" i="9"/>
  <c r="AM14" i="9"/>
  <c r="AM15" i="9"/>
  <c r="AM16" i="9"/>
  <c r="AM17" i="9"/>
  <c r="AM18" i="9"/>
  <c r="AM20" i="9"/>
  <c r="AM21" i="9"/>
  <c r="AM22" i="9"/>
  <c r="AM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20" i="9"/>
  <c r="AL21" i="9"/>
  <c r="AL22" i="9"/>
  <c r="AL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20" i="9"/>
  <c r="AK21" i="9"/>
  <c r="AK22" i="9"/>
  <c r="AK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20" i="9"/>
  <c r="AJ21" i="9"/>
  <c r="AJ22" i="9"/>
  <c r="AJ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20" i="9"/>
  <c r="AI21" i="9"/>
  <c r="AI22" i="9"/>
  <c r="AI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20" i="9"/>
  <c r="AH21" i="9"/>
  <c r="AH22" i="9"/>
  <c r="AH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20" i="9"/>
  <c r="AG21" i="9"/>
  <c r="AG22" i="9"/>
  <c r="AG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20" i="9"/>
  <c r="AF21" i="9"/>
  <c r="AF22" i="9"/>
  <c r="AF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20" i="9"/>
  <c r="AE21" i="9"/>
  <c r="AE22" i="9"/>
  <c r="AE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20" i="9"/>
  <c r="AD21" i="9"/>
  <c r="AD22" i="9"/>
  <c r="AD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20" i="9"/>
  <c r="AC21" i="9"/>
  <c r="AC22" i="9"/>
  <c r="AC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20" i="9"/>
  <c r="AB21" i="9"/>
  <c r="AB22" i="9"/>
  <c r="AB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20" i="9"/>
  <c r="AA21" i="9"/>
  <c r="AA22" i="9"/>
  <c r="AA6" i="9"/>
  <c r="Z7" i="9"/>
  <c r="Z8" i="9"/>
  <c r="Z9" i="9"/>
  <c r="Z10" i="9"/>
  <c r="Z11" i="9"/>
  <c r="Z12" i="9"/>
  <c r="Z13" i="9"/>
  <c r="Z14" i="9"/>
  <c r="Z15" i="9"/>
  <c r="Z16" i="9"/>
  <c r="Z17" i="9"/>
  <c r="Z18" i="9"/>
  <c r="Z20" i="9"/>
  <c r="Z21" i="9"/>
  <c r="Z22" i="9"/>
  <c r="Z6" i="9"/>
  <c r="Y7" i="9"/>
  <c r="Y8" i="9"/>
  <c r="Y9" i="9"/>
  <c r="Y10" i="9"/>
  <c r="Y11" i="9"/>
  <c r="Y12" i="9"/>
  <c r="Y13" i="9"/>
  <c r="Y14" i="9"/>
  <c r="Y15" i="9"/>
  <c r="Y16" i="9"/>
  <c r="Y17" i="9"/>
  <c r="Y18" i="9"/>
  <c r="Y20" i="9"/>
  <c r="Y21" i="9"/>
  <c r="Y22" i="9"/>
  <c r="Y6" i="9"/>
  <c r="X7" i="9"/>
  <c r="X8" i="9"/>
  <c r="X9" i="9"/>
  <c r="X10" i="9"/>
  <c r="X11" i="9"/>
  <c r="X12" i="9"/>
  <c r="X13" i="9"/>
  <c r="X14" i="9"/>
  <c r="X15" i="9"/>
  <c r="X16" i="9"/>
  <c r="X17" i="9"/>
  <c r="X18" i="9"/>
  <c r="X20" i="9"/>
  <c r="X21" i="9"/>
  <c r="X22" i="9"/>
  <c r="X6" i="9"/>
  <c r="W7" i="9"/>
  <c r="W8" i="9"/>
  <c r="W9" i="9"/>
  <c r="W10" i="9"/>
  <c r="W11" i="9"/>
  <c r="W12" i="9"/>
  <c r="W13" i="9"/>
  <c r="W14" i="9"/>
  <c r="W15" i="9"/>
  <c r="W16" i="9"/>
  <c r="W17" i="9"/>
  <c r="W18" i="9"/>
  <c r="W20" i="9"/>
  <c r="W21" i="9"/>
  <c r="W22" i="9"/>
  <c r="W6" i="9"/>
  <c r="V7" i="9"/>
  <c r="V8" i="9"/>
  <c r="V9" i="9"/>
  <c r="V10" i="9"/>
  <c r="V11" i="9"/>
  <c r="V12" i="9"/>
  <c r="V13" i="9"/>
  <c r="V14" i="9"/>
  <c r="V15" i="9"/>
  <c r="V16" i="9"/>
  <c r="V17" i="9"/>
  <c r="V18" i="9"/>
  <c r="V20" i="9"/>
  <c r="V21" i="9"/>
  <c r="V22" i="9"/>
  <c r="V6" i="9"/>
  <c r="U7" i="9"/>
  <c r="U8" i="9"/>
  <c r="U9" i="9"/>
  <c r="U10" i="9"/>
  <c r="U11" i="9"/>
  <c r="U12" i="9"/>
  <c r="U13" i="9"/>
  <c r="U14" i="9"/>
  <c r="U15" i="9"/>
  <c r="U16" i="9"/>
  <c r="U17" i="9"/>
  <c r="U18" i="9"/>
  <c r="U20" i="9"/>
  <c r="U21" i="9"/>
  <c r="U22" i="9"/>
  <c r="U6" i="9"/>
  <c r="T7" i="9"/>
  <c r="T8" i="9"/>
  <c r="T9" i="9"/>
  <c r="T10" i="9"/>
  <c r="T11" i="9"/>
  <c r="T12" i="9"/>
  <c r="T13" i="9"/>
  <c r="T14" i="9"/>
  <c r="T15" i="9"/>
  <c r="T16" i="9"/>
  <c r="T17" i="9"/>
  <c r="T18" i="9"/>
  <c r="T20" i="9"/>
  <c r="T21" i="9"/>
  <c r="T22" i="9"/>
  <c r="T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6" i="9"/>
  <c r="R7" i="9"/>
  <c r="R8" i="9"/>
  <c r="R9" i="9"/>
  <c r="R10" i="9"/>
  <c r="R11" i="9"/>
  <c r="R12" i="9"/>
  <c r="R14" i="9"/>
  <c r="R15" i="9"/>
  <c r="R16" i="9"/>
  <c r="R17" i="9"/>
  <c r="R18" i="9"/>
  <c r="R20" i="9"/>
  <c r="R21" i="9"/>
  <c r="R22" i="9"/>
  <c r="R6" i="9"/>
  <c r="Q7" i="9"/>
  <c r="Q8" i="9"/>
  <c r="Q9" i="9"/>
  <c r="Q10" i="9"/>
  <c r="Q11" i="9"/>
  <c r="Q12" i="9"/>
  <c r="Q13" i="9"/>
  <c r="Q14" i="9"/>
  <c r="Q15" i="9"/>
  <c r="Q16" i="9"/>
  <c r="Q17" i="9"/>
  <c r="Q18" i="9"/>
  <c r="Q20" i="9"/>
  <c r="Q21" i="9"/>
  <c r="Q22" i="9"/>
  <c r="Q6" i="9"/>
  <c r="P7" i="9"/>
  <c r="P8" i="9"/>
  <c r="P9" i="9"/>
  <c r="P10" i="9"/>
  <c r="P11" i="9"/>
  <c r="P12" i="9"/>
  <c r="P13" i="9"/>
  <c r="P14" i="9"/>
  <c r="P15" i="9"/>
  <c r="P16" i="9"/>
  <c r="P17" i="9"/>
  <c r="P18" i="9"/>
  <c r="P20" i="9"/>
  <c r="P21" i="9"/>
  <c r="P22" i="9"/>
  <c r="P6" i="9"/>
  <c r="O7" i="9"/>
  <c r="O8" i="9"/>
  <c r="O9" i="9"/>
  <c r="O10" i="9"/>
  <c r="O11" i="9"/>
  <c r="O12" i="9"/>
  <c r="O13" i="9"/>
  <c r="O14" i="9"/>
  <c r="O15" i="9"/>
  <c r="O16" i="9"/>
  <c r="O17" i="9"/>
  <c r="O18" i="9"/>
  <c r="O20" i="9"/>
  <c r="O21" i="9"/>
  <c r="O6" i="9"/>
  <c r="N7" i="9"/>
  <c r="N8" i="9"/>
  <c r="N9" i="9"/>
  <c r="N10" i="9"/>
  <c r="N11" i="9"/>
  <c r="N12" i="9"/>
  <c r="N13" i="9"/>
  <c r="N14" i="9"/>
  <c r="N15" i="9"/>
  <c r="N16" i="9"/>
  <c r="N17" i="9"/>
  <c r="N18" i="9"/>
  <c r="N20" i="9"/>
  <c r="N21" i="9"/>
  <c r="N22" i="9"/>
  <c r="N6" i="9"/>
  <c r="M7" i="9"/>
  <c r="M8" i="9"/>
  <c r="M9" i="9"/>
  <c r="M10" i="9"/>
  <c r="M11" i="9"/>
  <c r="M12" i="9"/>
  <c r="M13" i="9"/>
  <c r="M14" i="9"/>
  <c r="M15" i="9"/>
  <c r="M16" i="9"/>
  <c r="M17" i="9"/>
  <c r="M18" i="9"/>
  <c r="M20" i="9"/>
  <c r="M21" i="9"/>
  <c r="M22" i="9"/>
  <c r="M6" i="9"/>
  <c r="L7" i="9"/>
  <c r="L8" i="9"/>
  <c r="L9" i="9"/>
  <c r="L10" i="9"/>
  <c r="L11" i="9"/>
  <c r="L12" i="9"/>
  <c r="L13" i="9"/>
  <c r="L14" i="9"/>
  <c r="L15" i="9"/>
  <c r="L16" i="9"/>
  <c r="L17" i="9"/>
  <c r="L18" i="9"/>
  <c r="L20" i="9"/>
  <c r="L21" i="9"/>
  <c r="L22" i="9"/>
  <c r="L6" i="9"/>
  <c r="K7" i="9"/>
  <c r="K8" i="9"/>
  <c r="K9" i="9"/>
  <c r="K10" i="9"/>
  <c r="K11" i="9"/>
  <c r="K12" i="9"/>
  <c r="K13" i="9"/>
  <c r="K14" i="9"/>
  <c r="K15" i="9"/>
  <c r="K17" i="9"/>
  <c r="K18" i="9"/>
  <c r="K19" i="9"/>
  <c r="K20" i="9"/>
  <c r="K21" i="9"/>
  <c r="K22" i="9"/>
  <c r="K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6" i="9"/>
  <c r="E7" i="9"/>
  <c r="E8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6" i="9"/>
  <c r="D8" i="9"/>
  <c r="D9" i="9"/>
  <c r="D10" i="9"/>
  <c r="D11" i="9"/>
  <c r="D13" i="9"/>
  <c r="D14" i="9"/>
  <c r="D15" i="9"/>
  <c r="D16" i="9"/>
  <c r="D17" i="9"/>
  <c r="D18" i="9"/>
  <c r="D19" i="9"/>
  <c r="D20" i="9"/>
  <c r="D21" i="9"/>
  <c r="D22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D5" i="9"/>
  <c r="F5" i="8"/>
  <c r="G5" i="8"/>
  <c r="H5" i="8"/>
  <c r="I5" i="8"/>
  <c r="J5" i="8"/>
  <c r="K5" i="8"/>
  <c r="L5" i="8"/>
  <c r="Q5" i="8"/>
  <c r="R5" i="8"/>
  <c r="S5" i="8"/>
  <c r="T5" i="8"/>
  <c r="U5" i="8"/>
  <c r="V5" i="8"/>
  <c r="W5" i="8"/>
  <c r="X5" i="8"/>
  <c r="E5" i="8"/>
  <c r="AR7" i="9" l="1"/>
  <c r="L4" i="1" s="1"/>
  <c r="AR6" i="9"/>
  <c r="L3" i="1" s="1"/>
  <c r="L21" i="12" s="1"/>
  <c r="AR9" i="9"/>
  <c r="L6" i="1" s="1"/>
  <c r="AR13" i="9"/>
  <c r="L10" i="1" s="1"/>
  <c r="AR17" i="9"/>
  <c r="L14" i="1" s="1"/>
  <c r="L9" i="12" s="1"/>
  <c r="AR21" i="9"/>
  <c r="L19" i="1" s="1"/>
  <c r="AR8" i="9"/>
  <c r="L5" i="1" s="1"/>
  <c r="AR10" i="9"/>
  <c r="L7" i="1" s="1"/>
  <c r="AR11" i="9"/>
  <c r="L8" i="1" s="1"/>
  <c r="AR12" i="9"/>
  <c r="L9" i="1" s="1"/>
  <c r="AR14" i="9"/>
  <c r="L11" i="1" s="1"/>
  <c r="AR15" i="9"/>
  <c r="L12" i="1" s="1"/>
  <c r="L15" i="12" s="1"/>
  <c r="AR16" i="9"/>
  <c r="L13" i="1" s="1"/>
  <c r="AR18" i="9"/>
  <c r="L16" i="1" s="1"/>
  <c r="AR20" i="9"/>
  <c r="L18" i="1" s="1"/>
  <c r="L19" i="12" s="1"/>
  <c r="AR22" i="9"/>
  <c r="L20" i="1" s="1"/>
  <c r="L17" i="12" s="1"/>
  <c r="AU26" i="8"/>
  <c r="AT7" i="8"/>
  <c r="AT14" i="8"/>
  <c r="AT22" i="8"/>
  <c r="AT19" i="8"/>
  <c r="AT21" i="8"/>
  <c r="AT15" i="8"/>
  <c r="AT8" i="8"/>
  <c r="AT6" i="8"/>
  <c r="AT17" i="8"/>
  <c r="AT12" i="8"/>
  <c r="AT10" i="8"/>
  <c r="AT20" i="8"/>
  <c r="AT13" i="8"/>
  <c r="AT18" i="8"/>
  <c r="AT11" i="8"/>
  <c r="AT16" i="8"/>
  <c r="S6" i="2"/>
  <c r="F14" i="2"/>
  <c r="K322" i="3"/>
  <c r="I322" i="3"/>
  <c r="E322" i="3"/>
  <c r="C322" i="3"/>
  <c r="B293" i="3"/>
  <c r="H277" i="3"/>
  <c r="B277" i="3"/>
  <c r="H261" i="3"/>
  <c r="B261" i="3"/>
  <c r="H245" i="3"/>
  <c r="B245" i="3"/>
  <c r="H229" i="3"/>
  <c r="B229" i="3"/>
  <c r="H213" i="3"/>
  <c r="B213" i="3"/>
  <c r="H197" i="3"/>
  <c r="B197" i="3"/>
  <c r="H181" i="3"/>
  <c r="B181" i="3"/>
  <c r="H165" i="3"/>
  <c r="B165" i="3"/>
  <c r="H149" i="3"/>
  <c r="B149" i="3"/>
  <c r="H133" i="3"/>
  <c r="B133" i="3"/>
  <c r="H117" i="3"/>
  <c r="B117" i="3"/>
  <c r="H101" i="3"/>
  <c r="B101" i="3"/>
  <c r="H84" i="3"/>
  <c r="B84" i="3"/>
  <c r="H68" i="3"/>
  <c r="H52" i="3"/>
  <c r="B52" i="3"/>
  <c r="H35" i="3"/>
  <c r="B35" i="3"/>
  <c r="K306" i="3"/>
  <c r="I306" i="3"/>
  <c r="E306" i="3"/>
  <c r="C306" i="3"/>
  <c r="K290" i="3"/>
  <c r="I290" i="3"/>
  <c r="E290" i="3"/>
  <c r="C290" i="3"/>
  <c r="K274" i="3"/>
  <c r="AK24" i="2" s="1"/>
  <c r="I274" i="3"/>
  <c r="E274" i="3"/>
  <c r="C274" i="3"/>
  <c r="K258" i="3"/>
  <c r="I258" i="3"/>
  <c r="AI26" i="2" s="1"/>
  <c r="E258" i="3"/>
  <c r="C258" i="3"/>
  <c r="AH26" i="2" s="1"/>
  <c r="K242" i="3"/>
  <c r="I242" i="3"/>
  <c r="E242" i="3"/>
  <c r="C242" i="3"/>
  <c r="AF26" i="2" s="1"/>
  <c r="K226" i="3"/>
  <c r="AE23" i="2" s="1"/>
  <c r="I226" i="3"/>
  <c r="E226" i="3"/>
  <c r="AD25" i="2" s="1"/>
  <c r="C226" i="3"/>
  <c r="K210" i="3"/>
  <c r="AC24" i="2" s="1"/>
  <c r="I210" i="3"/>
  <c r="E210" i="3"/>
  <c r="C210" i="3"/>
  <c r="K194" i="3"/>
  <c r="I194" i="3"/>
  <c r="E194" i="3"/>
  <c r="Z14" i="2" s="1"/>
  <c r="C194" i="3"/>
  <c r="Z26" i="2" s="1"/>
  <c r="K178" i="3"/>
  <c r="I178" i="3"/>
  <c r="Y23" i="2" s="1"/>
  <c r="E178" i="3"/>
  <c r="C178" i="3"/>
  <c r="K162" i="3"/>
  <c r="W18" i="2" s="1"/>
  <c r="I162" i="3"/>
  <c r="E162" i="3"/>
  <c r="V24" i="2" s="1"/>
  <c r="C162" i="3"/>
  <c r="V10" i="2" s="1"/>
  <c r="K146" i="3"/>
  <c r="U6" i="2" s="1"/>
  <c r="I146" i="3"/>
  <c r="E146" i="3"/>
  <c r="C146" i="3"/>
  <c r="T26" i="2" s="1"/>
  <c r="K130" i="3"/>
  <c r="I130" i="3"/>
  <c r="E130" i="3"/>
  <c r="R25" i="2" s="1"/>
  <c r="C130" i="3"/>
  <c r="K114" i="3"/>
  <c r="Q22" i="2" s="1"/>
  <c r="I114" i="3"/>
  <c r="E114" i="3"/>
  <c r="C114" i="3"/>
  <c r="K98" i="3"/>
  <c r="O24" i="2" s="1"/>
  <c r="I98" i="3"/>
  <c r="O14" i="2" s="1"/>
  <c r="E98" i="3"/>
  <c r="N18" i="2" s="1"/>
  <c r="C98" i="3"/>
  <c r="N24" i="2" s="1"/>
  <c r="K81" i="3"/>
  <c r="M24" i="2" s="1"/>
  <c r="I81" i="3"/>
  <c r="E81" i="3"/>
  <c r="C81" i="3"/>
  <c r="K65" i="3"/>
  <c r="I65" i="3"/>
  <c r="K17" i="2" s="1"/>
  <c r="E65" i="3"/>
  <c r="J7" i="2" s="1"/>
  <c r="C65" i="3"/>
  <c r="J24" i="2" s="1"/>
  <c r="K49" i="3"/>
  <c r="I21" i="2" s="1"/>
  <c r="I49" i="3"/>
  <c r="I20" i="2" s="1"/>
  <c r="E49" i="3"/>
  <c r="C49" i="3"/>
  <c r="H19" i="3"/>
  <c r="B19" i="3"/>
  <c r="K32" i="3"/>
  <c r="I32" i="3"/>
  <c r="E32" i="3"/>
  <c r="F23" i="2" s="1"/>
  <c r="C32" i="3"/>
  <c r="F24" i="2" s="1"/>
  <c r="I16" i="3"/>
  <c r="E8" i="2" s="1"/>
  <c r="K16" i="3"/>
  <c r="E24" i="2" s="1"/>
  <c r="E16" i="3"/>
  <c r="C16" i="3"/>
  <c r="H3" i="3"/>
  <c r="B3" i="3"/>
  <c r="AQ25" i="2" l="1"/>
  <c r="AQ23" i="2"/>
  <c r="AQ16" i="2"/>
  <c r="AQ9" i="2"/>
  <c r="AQ22" i="2"/>
  <c r="AQ21" i="2"/>
  <c r="AQ26" i="2"/>
  <c r="AQ24" i="2"/>
  <c r="AQ7" i="2"/>
  <c r="AQ10" i="2"/>
  <c r="AQ11" i="2"/>
  <c r="AQ12" i="2"/>
  <c r="AP25" i="2"/>
  <c r="AP7" i="2"/>
  <c r="AP17" i="2"/>
  <c r="AP22" i="2"/>
  <c r="AP19" i="2"/>
  <c r="AP12" i="2"/>
  <c r="AP24" i="2"/>
  <c r="AP23" i="2"/>
  <c r="AP21" i="2"/>
  <c r="AP16" i="2"/>
  <c r="AP9" i="2"/>
  <c r="AO25" i="2"/>
  <c r="AO24" i="2"/>
  <c r="AO16" i="2"/>
  <c r="AO23" i="2"/>
  <c r="AO12" i="2"/>
  <c r="AN23" i="2"/>
  <c r="AN12" i="2"/>
  <c r="AN9" i="2"/>
  <c r="AN25" i="2"/>
  <c r="AN17" i="2"/>
  <c r="AM23" i="2"/>
  <c r="AM12" i="2"/>
  <c r="AM25" i="2"/>
  <c r="AM7" i="2"/>
  <c r="AM17" i="2"/>
  <c r="AL23" i="2"/>
  <c r="AL12" i="2"/>
  <c r="AL22" i="2"/>
  <c r="AL25" i="2"/>
  <c r="AL24" i="2"/>
  <c r="AK25" i="2"/>
  <c r="AK26" i="2"/>
  <c r="AK19" i="2"/>
  <c r="AJ12" i="2"/>
  <c r="AJ26" i="2"/>
  <c r="AJ23" i="2"/>
  <c r="AJ10" i="2"/>
  <c r="AI24" i="2"/>
  <c r="AI25" i="2"/>
  <c r="AE25" i="2"/>
  <c r="AE9" i="2"/>
  <c r="AG23" i="2"/>
  <c r="AG25" i="2"/>
  <c r="AG26" i="2"/>
  <c r="AG24" i="2"/>
  <c r="AG19" i="2"/>
  <c r="AF23" i="2"/>
  <c r="AF25" i="2"/>
  <c r="AB24" i="2"/>
  <c r="AB26" i="2"/>
  <c r="AB22" i="2"/>
  <c r="AA14" i="2"/>
  <c r="AA26" i="2"/>
  <c r="Y16" i="2"/>
  <c r="Y24" i="2"/>
  <c r="X24" i="2"/>
  <c r="X26" i="2"/>
  <c r="W24" i="2"/>
  <c r="W26" i="2"/>
  <c r="U25" i="2"/>
  <c r="U26" i="2"/>
  <c r="U24" i="2"/>
  <c r="S26" i="2"/>
  <c r="S24" i="2"/>
  <c r="R14" i="2"/>
  <c r="R24" i="2"/>
  <c r="Q25" i="2"/>
  <c r="Q24" i="2"/>
  <c r="P26" i="2"/>
  <c r="P25" i="2"/>
  <c r="P22" i="2"/>
  <c r="P24" i="2"/>
  <c r="G13" i="2"/>
  <c r="G24" i="2"/>
  <c r="D13" i="2"/>
  <c r="D24" i="2"/>
  <c r="AI23" i="2"/>
  <c r="AI12" i="2"/>
  <c r="AH23" i="2"/>
  <c r="AH24" i="2"/>
  <c r="AG11" i="2"/>
  <c r="AG12" i="2"/>
  <c r="AG13" i="2"/>
  <c r="AG22" i="2"/>
  <c r="AE12" i="2"/>
  <c r="AE24" i="2"/>
  <c r="AD7" i="2"/>
  <c r="AD12" i="2"/>
  <c r="AD24" i="2"/>
  <c r="L19" i="2"/>
  <c r="K23" i="2"/>
  <c r="K24" i="2"/>
  <c r="H14" i="2"/>
  <c r="H24" i="2"/>
  <c r="H18" i="2"/>
  <c r="H21" i="2"/>
  <c r="AK23" i="2"/>
  <c r="AK22" i="2"/>
  <c r="AK12" i="2"/>
  <c r="AH21" i="2"/>
  <c r="AH12" i="2"/>
  <c r="AF12" i="2"/>
  <c r="AF24" i="2"/>
  <c r="AA23" i="2"/>
  <c r="AA24" i="2"/>
  <c r="X14" i="2"/>
  <c r="V19" i="2"/>
  <c r="T22" i="2"/>
  <c r="T24" i="2"/>
  <c r="S14" i="2"/>
  <c r="S19" i="2"/>
  <c r="R13" i="2"/>
  <c r="R22" i="2"/>
  <c r="O23" i="2"/>
  <c r="D12" i="2"/>
  <c r="AD17" i="2"/>
  <c r="AD15" i="2"/>
  <c r="AD23" i="2"/>
  <c r="AD10" i="2"/>
  <c r="AD16" i="2"/>
  <c r="AD22" i="2"/>
  <c r="AC23" i="2"/>
  <c r="AC22" i="2"/>
  <c r="AA19" i="2"/>
  <c r="AA17" i="2"/>
  <c r="AA7" i="2"/>
  <c r="S23" i="2"/>
  <c r="S17" i="2"/>
  <c r="P23" i="2"/>
  <c r="F9" i="2"/>
  <c r="J23" i="2"/>
  <c r="N14" i="2"/>
  <c r="N19" i="2"/>
  <c r="M18" i="2"/>
  <c r="M19" i="2"/>
  <c r="M14" i="2"/>
  <c r="K14" i="2"/>
  <c r="H7" i="2"/>
  <c r="H9" i="2"/>
  <c r="H23" i="2"/>
  <c r="H19" i="2"/>
  <c r="E11" i="2"/>
  <c r="D14" i="2"/>
  <c r="D23" i="2"/>
  <c r="AB23" i="2"/>
  <c r="AB17" i="2"/>
  <c r="AB7" i="2"/>
  <c r="AB14" i="2"/>
  <c r="Z23" i="2"/>
  <c r="Z7" i="2"/>
  <c r="Z9" i="2"/>
  <c r="Z18" i="2"/>
  <c r="Z22" i="2"/>
  <c r="Y21" i="2"/>
  <c r="Y22" i="2"/>
  <c r="Y9" i="2"/>
  <c r="X23" i="2"/>
  <c r="X12" i="2"/>
  <c r="X19" i="2"/>
  <c r="X7" i="2"/>
  <c r="W23" i="2"/>
  <c r="W17" i="2"/>
  <c r="W19" i="2"/>
  <c r="V23" i="2"/>
  <c r="V15" i="2"/>
  <c r="U23" i="2"/>
  <c r="U7" i="2"/>
  <c r="U11" i="2"/>
  <c r="T23" i="2"/>
  <c r="T11" i="2"/>
  <c r="R19" i="2"/>
  <c r="R23" i="2"/>
  <c r="Q19" i="2"/>
  <c r="Q23" i="2"/>
  <c r="P19" i="2"/>
  <c r="N23" i="2"/>
  <c r="N21" i="2"/>
  <c r="M23" i="2"/>
  <c r="M21" i="2"/>
  <c r="L23" i="2"/>
  <c r="L16" i="2"/>
  <c r="K19" i="2"/>
  <c r="K15" i="2"/>
  <c r="K9" i="2"/>
  <c r="I17" i="2"/>
  <c r="I23" i="2"/>
  <c r="G8" i="2"/>
  <c r="G23" i="2"/>
  <c r="L22" i="12"/>
  <c r="L3" i="12"/>
  <c r="L6" i="12"/>
  <c r="L8" i="12"/>
  <c r="L12" i="12"/>
  <c r="L20" i="12"/>
  <c r="L5" i="12"/>
  <c r="L10" i="12"/>
  <c r="L11" i="12"/>
  <c r="F17" i="2"/>
  <c r="G7" i="2"/>
  <c r="E14" i="2"/>
  <c r="E19" i="2"/>
  <c r="E7" i="2"/>
  <c r="E23" i="2"/>
  <c r="D20" i="2"/>
  <c r="D19" i="2"/>
  <c r="AJ7" i="2"/>
  <c r="AJ11" i="2"/>
  <c r="AJ20" i="2"/>
  <c r="AJ17" i="2"/>
  <c r="AJ14" i="2"/>
  <c r="AJ18" i="2"/>
  <c r="AJ22" i="2"/>
  <c r="AJ15" i="2"/>
  <c r="AJ8" i="2"/>
  <c r="AJ16" i="2"/>
  <c r="AJ9" i="2"/>
  <c r="AJ21" i="2"/>
  <c r="S8" i="2"/>
  <c r="S9" i="2"/>
  <c r="S11" i="2"/>
  <c r="S18" i="2"/>
  <c r="S22" i="2"/>
  <c r="S7" i="2"/>
  <c r="AE14" i="2"/>
  <c r="AE18" i="2"/>
  <c r="AE7" i="2"/>
  <c r="AE11" i="2"/>
  <c r="AE15" i="2"/>
  <c r="AE19" i="2"/>
  <c r="AE17" i="2"/>
  <c r="O21" i="2"/>
  <c r="O22" i="2"/>
  <c r="S12" i="2"/>
  <c r="S16" i="2"/>
  <c r="S13" i="2"/>
  <c r="S21" i="2"/>
  <c r="S15" i="2"/>
  <c r="S10" i="2"/>
  <c r="AE10" i="2"/>
  <c r="AE22" i="2"/>
  <c r="AE8" i="2"/>
  <c r="AE16" i="2"/>
  <c r="AE21" i="2"/>
  <c r="AO8" i="2"/>
  <c r="AO15" i="2"/>
  <c r="AO9" i="2"/>
  <c r="AO18" i="2"/>
  <c r="AO22" i="2"/>
  <c r="AO21" i="2"/>
  <c r="AO7" i="2"/>
  <c r="AO10" i="2"/>
  <c r="AO17" i="2"/>
  <c r="AO11" i="2"/>
  <c r="AO19" i="2"/>
  <c r="AO20" i="2"/>
  <c r="AN8" i="2"/>
  <c r="AN16" i="2"/>
  <c r="AN22" i="2"/>
  <c r="AN18" i="2"/>
  <c r="AN20" i="2"/>
  <c r="AN7" i="2"/>
  <c r="AN19" i="2"/>
  <c r="AN15" i="2"/>
  <c r="AN10" i="2"/>
  <c r="AN11" i="2"/>
  <c r="AN21" i="2"/>
  <c r="AM18" i="2"/>
  <c r="AM10" i="2"/>
  <c r="AM11" i="2"/>
  <c r="AM22" i="2"/>
  <c r="AM9" i="2"/>
  <c r="AM16" i="2"/>
  <c r="AM19" i="2"/>
  <c r="AM21" i="2"/>
  <c r="AL7" i="2"/>
  <c r="AL19" i="2"/>
  <c r="AL10" i="2"/>
  <c r="AL9" i="2"/>
  <c r="AL11" i="2"/>
  <c r="AL15" i="2"/>
  <c r="AL8" i="2"/>
  <c r="AL16" i="2"/>
  <c r="AL18" i="2"/>
  <c r="AL21" i="2"/>
  <c r="AK16" i="2"/>
  <c r="AK10" i="2"/>
  <c r="AK9" i="2"/>
  <c r="AK18" i="2"/>
  <c r="AK21" i="2"/>
  <c r="AK7" i="2"/>
  <c r="AK15" i="2"/>
  <c r="AK11" i="2"/>
  <c r="AK8" i="2"/>
  <c r="AK17" i="2"/>
  <c r="AI7" i="2"/>
  <c r="AI15" i="2"/>
  <c r="AI8" i="2"/>
  <c r="AI17" i="2"/>
  <c r="AI11" i="2"/>
  <c r="AI19" i="2"/>
  <c r="AI16" i="2"/>
  <c r="AI10" i="2"/>
  <c r="AI21" i="2"/>
  <c r="AI9" i="2"/>
  <c r="AI18" i="2"/>
  <c r="AI20" i="2"/>
  <c r="AI22" i="2"/>
  <c r="AH15" i="2"/>
  <c r="AH20" i="2"/>
  <c r="AH8" i="2"/>
  <c r="AH9" i="2"/>
  <c r="AH10" i="2"/>
  <c r="AH18" i="2"/>
  <c r="AH7" i="2"/>
  <c r="AH22" i="2"/>
  <c r="AH16" i="2"/>
  <c r="AH17" i="2"/>
  <c r="AH11" i="2"/>
  <c r="AH19" i="2"/>
  <c r="AG15" i="2"/>
  <c r="AG9" i="2"/>
  <c r="AG17" i="2"/>
  <c r="AG10" i="2"/>
  <c r="AG21" i="2"/>
  <c r="AG7" i="2"/>
  <c r="AG8" i="2"/>
  <c r="AG16" i="2"/>
  <c r="AG14" i="2"/>
  <c r="AG18" i="2"/>
  <c r="AF8" i="2"/>
  <c r="AF9" i="2"/>
  <c r="AF10" i="2"/>
  <c r="AF18" i="2"/>
  <c r="AF21" i="2"/>
  <c r="AF22" i="2"/>
  <c r="AF16" i="2"/>
  <c r="AF17" i="2"/>
  <c r="AF11" i="2"/>
  <c r="AF19" i="2"/>
  <c r="AF15" i="2"/>
  <c r="AF7" i="2"/>
  <c r="AD21" i="2"/>
  <c r="AD9" i="2"/>
  <c r="AD11" i="2"/>
  <c r="AD20" i="2"/>
  <c r="AD18" i="2"/>
  <c r="AD8" i="2"/>
  <c r="AD19" i="2"/>
  <c r="AC15" i="2"/>
  <c r="AC10" i="2"/>
  <c r="AC21" i="2"/>
  <c r="AC16" i="2"/>
  <c r="AC12" i="2"/>
  <c r="AC9" i="2"/>
  <c r="AC7" i="2"/>
  <c r="AC19" i="2"/>
  <c r="AC8" i="2"/>
  <c r="AC11" i="2"/>
  <c r="AC17" i="2"/>
  <c r="AB15" i="2"/>
  <c r="AB21" i="2"/>
  <c r="AB8" i="2"/>
  <c r="AB12" i="2"/>
  <c r="AB11" i="2"/>
  <c r="AB16" i="2"/>
  <c r="AB9" i="2"/>
  <c r="AB10" i="2"/>
  <c r="AB18" i="2"/>
  <c r="AB19" i="2"/>
  <c r="AA15" i="2"/>
  <c r="AA9" i="2"/>
  <c r="AA8" i="2"/>
  <c r="AA16" i="2"/>
  <c r="AA11" i="2"/>
  <c r="AA22" i="2"/>
  <c r="AA10" i="2"/>
  <c r="AA18" i="2"/>
  <c r="AA12" i="2"/>
  <c r="AA20" i="2"/>
  <c r="AA21" i="2"/>
  <c r="Z15" i="2"/>
  <c r="Z16" i="2"/>
  <c r="Z17" i="2"/>
  <c r="Z11" i="2"/>
  <c r="Z10" i="2"/>
  <c r="Z21" i="2"/>
  <c r="Z8" i="2"/>
  <c r="Z19" i="2"/>
  <c r="Z12" i="2"/>
  <c r="Y7" i="2"/>
  <c r="Y20" i="2"/>
  <c r="Y11" i="2"/>
  <c r="Y17" i="2"/>
  <c r="Y19" i="2"/>
  <c r="Y15" i="2"/>
  <c r="Y18" i="2"/>
  <c r="Y8" i="2"/>
  <c r="Y10" i="2"/>
  <c r="Y12" i="2"/>
  <c r="X15" i="2"/>
  <c r="X9" i="2"/>
  <c r="X17" i="2"/>
  <c r="X22" i="2"/>
  <c r="X11" i="2"/>
  <c r="X10" i="2"/>
  <c r="X8" i="2"/>
  <c r="X16" i="2"/>
  <c r="X20" i="2"/>
  <c r="X21" i="2"/>
  <c r="W15" i="2"/>
  <c r="W8" i="2"/>
  <c r="W9" i="2"/>
  <c r="W22" i="2"/>
  <c r="W12" i="2"/>
  <c r="W7" i="2"/>
  <c r="W10" i="2"/>
  <c r="W16" i="2"/>
  <c r="W11" i="2"/>
  <c r="W21" i="2"/>
  <c r="V7" i="2"/>
  <c r="V20" i="2"/>
  <c r="V17" i="2"/>
  <c r="V12" i="2"/>
  <c r="V18" i="2"/>
  <c r="V11" i="2"/>
  <c r="V8" i="2"/>
  <c r="V16" i="2"/>
  <c r="V22" i="2"/>
  <c r="V9" i="2"/>
  <c r="V21" i="2"/>
  <c r="L16" i="12"/>
  <c r="U15" i="2"/>
  <c r="U19" i="2"/>
  <c r="U17" i="2"/>
  <c r="U13" i="2"/>
  <c r="U22" i="2"/>
  <c r="U9" i="2"/>
  <c r="U10" i="2"/>
  <c r="U8" i="2"/>
  <c r="U16" i="2"/>
  <c r="U12" i="2"/>
  <c r="U21" i="2"/>
  <c r="U18" i="2"/>
  <c r="U20" i="2"/>
  <c r="T7" i="2"/>
  <c r="T15" i="2"/>
  <c r="T8" i="2"/>
  <c r="T16" i="2"/>
  <c r="T18" i="2"/>
  <c r="T13" i="2"/>
  <c r="T12" i="2"/>
  <c r="T21" i="2"/>
  <c r="T9" i="2"/>
  <c r="T17" i="2"/>
  <c r="T19" i="2"/>
  <c r="T10" i="2"/>
  <c r="R8" i="2"/>
  <c r="R12" i="2"/>
  <c r="R16" i="2"/>
  <c r="R9" i="2"/>
  <c r="R21" i="2"/>
  <c r="R18" i="2"/>
  <c r="R7" i="2"/>
  <c r="R11" i="2"/>
  <c r="R15" i="2"/>
  <c r="R6" i="2"/>
  <c r="R10" i="2"/>
  <c r="R17" i="2"/>
  <c r="Q7" i="2"/>
  <c r="Q11" i="2"/>
  <c r="Q15" i="2"/>
  <c r="Q6" i="2"/>
  <c r="Q17" i="2"/>
  <c r="Q10" i="2"/>
  <c r="Q18" i="2"/>
  <c r="Q8" i="2"/>
  <c r="Q12" i="2"/>
  <c r="Q16" i="2"/>
  <c r="Q9" i="2"/>
  <c r="Q21" i="2"/>
  <c r="E18" i="2"/>
  <c r="J12" i="2"/>
  <c r="K12" i="2"/>
  <c r="F13" i="2"/>
  <c r="D10" i="2"/>
  <c r="L18" i="2"/>
  <c r="L22" i="2"/>
  <c r="L15" i="2"/>
  <c r="L9" i="2"/>
  <c r="L21" i="2"/>
  <c r="L8" i="2"/>
  <c r="L13" i="2"/>
  <c r="G21" i="2"/>
  <c r="L10" i="2"/>
  <c r="L17" i="2"/>
  <c r="L7" i="2"/>
  <c r="L11" i="2"/>
  <c r="L12" i="2"/>
  <c r="L20" i="2"/>
  <c r="P7" i="2"/>
  <c r="P15" i="2"/>
  <c r="P17" i="2"/>
  <c r="P10" i="2"/>
  <c r="P11" i="2"/>
  <c r="P18" i="2"/>
  <c r="P8" i="2"/>
  <c r="P16" i="2"/>
  <c r="P9" i="2"/>
  <c r="P12" i="2"/>
  <c r="P21" i="2"/>
  <c r="O16" i="2"/>
  <c r="O8" i="2"/>
  <c r="O20" i="2"/>
  <c r="O9" i="2"/>
  <c r="O19" i="2"/>
  <c r="O18" i="2"/>
  <c r="O7" i="2"/>
  <c r="O15" i="2"/>
  <c r="O17" i="2"/>
  <c r="O10" i="2"/>
  <c r="O11" i="2"/>
  <c r="O6" i="2"/>
  <c r="O12" i="2"/>
  <c r="N15" i="2"/>
  <c r="N8" i="2"/>
  <c r="N16" i="2"/>
  <c r="N13" i="2"/>
  <c r="N22" i="2"/>
  <c r="N12" i="2"/>
  <c r="N7" i="2"/>
  <c r="N10" i="2"/>
  <c r="N9" i="2"/>
  <c r="N17" i="2"/>
  <c r="N11" i="2"/>
  <c r="M7" i="2"/>
  <c r="M15" i="2"/>
  <c r="M10" i="2"/>
  <c r="M17" i="2"/>
  <c r="M11" i="2"/>
  <c r="M12" i="2"/>
  <c r="M13" i="2"/>
  <c r="M8" i="2"/>
  <c r="M16" i="2"/>
  <c r="M20" i="2"/>
  <c r="M9" i="2"/>
  <c r="M22" i="2"/>
  <c r="D15" i="2"/>
  <c r="E22" i="2"/>
  <c r="J15" i="2"/>
  <c r="L19" i="11"/>
  <c r="L19" i="9"/>
  <c r="D22" i="2"/>
  <c r="F22" i="2"/>
  <c r="G17" i="2"/>
  <c r="AP19" i="11"/>
  <c r="AP19" i="9"/>
  <c r="E21" i="2"/>
  <c r="E12" i="2"/>
  <c r="D9" i="2"/>
  <c r="AI19" i="11"/>
  <c r="AI19" i="9"/>
  <c r="D11" i="2"/>
  <c r="J20" i="2"/>
  <c r="K7" i="2"/>
  <c r="K8" i="2"/>
  <c r="K13" i="2"/>
  <c r="K6" i="2"/>
  <c r="K22" i="2"/>
  <c r="K21" i="2"/>
  <c r="J21" i="2"/>
  <c r="I18" i="2"/>
  <c r="I22" i="2"/>
  <c r="I12" i="2"/>
  <c r="H13" i="2"/>
  <c r="H22" i="2"/>
  <c r="H16" i="2"/>
  <c r="H10" i="2"/>
  <c r="H20" i="2"/>
  <c r="H6" i="2"/>
  <c r="H15" i="2"/>
  <c r="H8" i="2"/>
  <c r="H17" i="2"/>
  <c r="H11" i="2"/>
  <c r="H12" i="2"/>
  <c r="G20" i="2"/>
  <c r="G16" i="2"/>
  <c r="G12" i="2"/>
  <c r="G22" i="2"/>
  <c r="F21" i="2"/>
  <c r="F18" i="2"/>
  <c r="F12" i="2"/>
  <c r="F7" i="2"/>
  <c r="AQ19" i="11"/>
  <c r="AQ19" i="9"/>
  <c r="AO19" i="11"/>
  <c r="AO19" i="9"/>
  <c r="AN19" i="11"/>
  <c r="AN19" i="9"/>
  <c r="AM19" i="11"/>
  <c r="AM19" i="9"/>
  <c r="AL19" i="11"/>
  <c r="AL19" i="9"/>
  <c r="AK19" i="11"/>
  <c r="AK19" i="9"/>
  <c r="AJ19" i="11"/>
  <c r="AJ19" i="9"/>
  <c r="AH19" i="11"/>
  <c r="AH19" i="9"/>
  <c r="AG19" i="11"/>
  <c r="AG19" i="9"/>
  <c r="AF19" i="11"/>
  <c r="AF19" i="9"/>
  <c r="AE19" i="11"/>
  <c r="AE19" i="9"/>
  <c r="AD19" i="11"/>
  <c r="AD19" i="9"/>
  <c r="AT26" i="8"/>
  <c r="I40" i="8" s="1"/>
  <c r="AC19" i="11"/>
  <c r="AC19" i="9"/>
  <c r="AB19" i="11"/>
  <c r="AB19" i="9"/>
  <c r="AA19" i="11"/>
  <c r="AA19" i="9"/>
  <c r="Z19" i="11"/>
  <c r="Z19" i="9"/>
  <c r="Y19" i="11"/>
  <c r="Y19" i="9"/>
  <c r="X19" i="11"/>
  <c r="X19" i="9"/>
  <c r="W19" i="11"/>
  <c r="W19" i="9"/>
  <c r="V19" i="11"/>
  <c r="V19" i="9"/>
  <c r="U19" i="11"/>
  <c r="U19" i="9"/>
  <c r="T19" i="11"/>
  <c r="T19" i="9"/>
  <c r="R19" i="11"/>
  <c r="R19" i="9"/>
  <c r="Q19" i="11"/>
  <c r="Q19" i="9"/>
  <c r="P19" i="11"/>
  <c r="P19" i="9"/>
  <c r="O19" i="11"/>
  <c r="O19" i="9"/>
  <c r="N19" i="11"/>
  <c r="N19" i="9"/>
  <c r="M19" i="11"/>
  <c r="M19" i="9"/>
  <c r="K20" i="2"/>
  <c r="K18" i="2"/>
  <c r="K10" i="2"/>
  <c r="K11" i="2"/>
  <c r="K16" i="2"/>
  <c r="J22" i="2"/>
  <c r="J18" i="2"/>
  <c r="J17" i="2"/>
  <c r="J14" i="2"/>
  <c r="J10" i="2"/>
  <c r="J13" i="2"/>
  <c r="J9" i="2"/>
  <c r="J16" i="2"/>
  <c r="J8" i="2"/>
  <c r="J6" i="2"/>
  <c r="J19" i="2"/>
  <c r="J11" i="2"/>
  <c r="I14" i="2"/>
  <c r="I11" i="2"/>
  <c r="I19" i="2"/>
  <c r="I13" i="2"/>
  <c r="I10" i="2"/>
  <c r="I15" i="2"/>
  <c r="I16" i="2"/>
  <c r="I7" i="2"/>
  <c r="I6" i="2"/>
  <c r="I8" i="2"/>
  <c r="I9" i="2"/>
  <c r="G19" i="2"/>
  <c r="G15" i="2"/>
  <c r="G11" i="2"/>
  <c r="G6" i="2"/>
  <c r="G18" i="2"/>
  <c r="G14" i="2"/>
  <c r="G10" i="2"/>
  <c r="G9" i="2"/>
  <c r="F16" i="2"/>
  <c r="F20" i="2"/>
  <c r="F8" i="2"/>
  <c r="F6" i="2"/>
  <c r="F19" i="2"/>
  <c r="F15" i="2"/>
  <c r="F11" i="2"/>
  <c r="F10" i="2"/>
  <c r="M12" i="1"/>
  <c r="M15" i="12" s="1"/>
  <c r="M18" i="1"/>
  <c r="M19" i="12" s="1"/>
  <c r="M13" i="1"/>
  <c r="M9" i="1"/>
  <c r="M4" i="1"/>
  <c r="M19" i="1"/>
  <c r="M6" i="1"/>
  <c r="M16" i="1"/>
  <c r="M8" i="1"/>
  <c r="E17" i="2"/>
  <c r="E13" i="2"/>
  <c r="E9" i="2"/>
  <c r="E20" i="2"/>
  <c r="E16" i="2"/>
  <c r="E6" i="2"/>
  <c r="E15" i="2"/>
  <c r="E10" i="2"/>
  <c r="M7" i="1"/>
  <c r="M10" i="1"/>
  <c r="M22" i="12" s="1"/>
  <c r="M20" i="1"/>
  <c r="M17" i="12" s="1"/>
  <c r="M14" i="1"/>
  <c r="M9" i="12" s="1"/>
  <c r="M3" i="1"/>
  <c r="D7" i="2"/>
  <c r="D16" i="2"/>
  <c r="D18" i="2"/>
  <c r="D8" i="2"/>
  <c r="D21" i="2"/>
  <c r="D17" i="2"/>
  <c r="M11" i="1"/>
  <c r="M5" i="1"/>
  <c r="AY25" i="2" l="1"/>
  <c r="H21" i="1" s="1"/>
  <c r="H14" i="12" s="1"/>
  <c r="AS25" i="2"/>
  <c r="AW25" i="2"/>
  <c r="AX25" i="2"/>
  <c r="G21" i="1" s="1"/>
  <c r="G14" i="12" s="1"/>
  <c r="AY26" i="2"/>
  <c r="H22" i="1" s="1"/>
  <c r="H7" i="12" s="1"/>
  <c r="AW26" i="2"/>
  <c r="F22" i="1" s="1"/>
  <c r="AX26" i="2"/>
  <c r="AS26" i="2"/>
  <c r="AS24" i="2"/>
  <c r="AY24" i="2"/>
  <c r="H5" i="1" s="1"/>
  <c r="AW24" i="2"/>
  <c r="AX24" i="2"/>
  <c r="AX23" i="2"/>
  <c r="G15" i="1" s="1"/>
  <c r="M10" i="12"/>
  <c r="M21" i="12"/>
  <c r="M6" i="12"/>
  <c r="M3" i="12"/>
  <c r="M11" i="12"/>
  <c r="M8" i="12"/>
  <c r="M20" i="12"/>
  <c r="M12" i="12"/>
  <c r="M5" i="12"/>
  <c r="AY23" i="2"/>
  <c r="H15" i="1" s="1"/>
  <c r="AW23" i="2"/>
  <c r="F15" i="1" s="1"/>
  <c r="AS23" i="2"/>
  <c r="M16" i="12"/>
  <c r="AY22" i="2"/>
  <c r="H20" i="1" s="1"/>
  <c r="AS21" i="2"/>
  <c r="AV21" i="10" s="1"/>
  <c r="AW21" i="10" s="1"/>
  <c r="AS22" i="2"/>
  <c r="AV22" i="10" s="1"/>
  <c r="AW22" i="2"/>
  <c r="F20" i="1" s="1"/>
  <c r="AX22" i="2"/>
  <c r="G20" i="1" s="1"/>
  <c r="AX12" i="2"/>
  <c r="G9" i="1" s="1"/>
  <c r="AW12" i="2"/>
  <c r="F9" i="1" s="1"/>
  <c r="AS12" i="2"/>
  <c r="AV12" i="10" s="1"/>
  <c r="AW12" i="10" s="1"/>
  <c r="AY12" i="2"/>
  <c r="H9" i="1" s="1"/>
  <c r="AY14" i="2"/>
  <c r="H11" i="1" s="1"/>
  <c r="AS17" i="2"/>
  <c r="AV17" i="10" s="1"/>
  <c r="AW17" i="10" s="1"/>
  <c r="AS14" i="2"/>
  <c r="AS14" i="9" s="1"/>
  <c r="AT14" i="9" s="1"/>
  <c r="AS18" i="2"/>
  <c r="AV18" i="10" s="1"/>
  <c r="AW18" i="10" s="1"/>
  <c r="AR19" i="9"/>
  <c r="L17" i="1" s="1"/>
  <c r="AR19" i="11"/>
  <c r="AR30" i="11" s="1"/>
  <c r="AX14" i="2"/>
  <c r="G11" i="1" s="1"/>
  <c r="AW14" i="2"/>
  <c r="F11" i="1" s="1"/>
  <c r="AS20" i="2"/>
  <c r="AS20" i="9" s="1"/>
  <c r="AT20" i="9" s="1"/>
  <c r="AW11" i="2"/>
  <c r="F8" i="1" s="1"/>
  <c r="AY10" i="2"/>
  <c r="H7" i="1" s="1"/>
  <c r="AY15" i="2"/>
  <c r="H12" i="1" s="1"/>
  <c r="AY9" i="2"/>
  <c r="H6" i="1" s="1"/>
  <c r="H12" i="12" s="1"/>
  <c r="AW20" i="2"/>
  <c r="F18" i="1" s="1"/>
  <c r="AS16" i="2"/>
  <c r="AV16" i="10" s="1"/>
  <c r="AY20" i="2"/>
  <c r="H18" i="1" s="1"/>
  <c r="AX20" i="2"/>
  <c r="G18" i="1" s="1"/>
  <c r="AX7" i="2"/>
  <c r="G4" i="1" s="1"/>
  <c r="AX11" i="2"/>
  <c r="G8" i="1" s="1"/>
  <c r="G8" i="12" s="1"/>
  <c r="AY11" i="2"/>
  <c r="H8" i="1" s="1"/>
  <c r="AW15" i="2"/>
  <c r="F12" i="1" s="1"/>
  <c r="AW19" i="2"/>
  <c r="F17" i="1" s="1"/>
  <c r="AY13" i="2"/>
  <c r="H10" i="1" s="1"/>
  <c r="AW13" i="2"/>
  <c r="F10" i="1" s="1"/>
  <c r="AY19" i="2"/>
  <c r="H17" i="1" s="1"/>
  <c r="H13" i="12" s="1"/>
  <c r="AX19" i="2"/>
  <c r="G17" i="1" s="1"/>
  <c r="AS19" i="2"/>
  <c r="AV19" i="10" s="1"/>
  <c r="AS11" i="2"/>
  <c r="AV11" i="10" s="1"/>
  <c r="AY8" i="2"/>
  <c r="AY7" i="2"/>
  <c r="H4" i="1" s="1"/>
  <c r="AS8" i="2"/>
  <c r="AW9" i="2"/>
  <c r="F6" i="1" s="1"/>
  <c r="F12" i="12" s="1"/>
  <c r="AS9" i="2"/>
  <c r="AX9" i="2"/>
  <c r="G6" i="1" s="1"/>
  <c r="AS7" i="2"/>
  <c r="AV7" i="10" s="1"/>
  <c r="AW7" i="10" s="1"/>
  <c r="AX10" i="2"/>
  <c r="G7" i="1" s="1"/>
  <c r="AW10" i="2"/>
  <c r="F7" i="1" s="1"/>
  <c r="AS10" i="2"/>
  <c r="AS15" i="2"/>
  <c r="AV15" i="10" s="1"/>
  <c r="AX15" i="2"/>
  <c r="G12" i="1" s="1"/>
  <c r="AS13" i="2"/>
  <c r="AV13" i="10" s="1"/>
  <c r="AX13" i="2"/>
  <c r="G10" i="1" s="1"/>
  <c r="AS6" i="2"/>
  <c r="AV6" i="10" s="1"/>
  <c r="G40" i="8"/>
  <c r="AY17" i="2"/>
  <c r="H14" i="1" s="1"/>
  <c r="AW7" i="2"/>
  <c r="F4" i="1" s="1"/>
  <c r="AY18" i="2"/>
  <c r="H16" i="1" s="1"/>
  <c r="AX18" i="2"/>
  <c r="G16" i="1" s="1"/>
  <c r="AW18" i="2"/>
  <c r="F16" i="1" s="1"/>
  <c r="F20" i="12" s="1"/>
  <c r="AW8" i="2"/>
  <c r="AX8" i="2"/>
  <c r="AY21" i="2"/>
  <c r="H19" i="1" s="1"/>
  <c r="AY16" i="2"/>
  <c r="H13" i="1" s="1"/>
  <c r="AW17" i="2"/>
  <c r="F14" i="1" s="1"/>
  <c r="AW16" i="2"/>
  <c r="F13" i="1" s="1"/>
  <c r="AX17" i="2"/>
  <c r="G14" i="1" s="1"/>
  <c r="AX16" i="2"/>
  <c r="G13" i="1" s="1"/>
  <c r="AX21" i="2"/>
  <c r="G19" i="1" s="1"/>
  <c r="AW21" i="2"/>
  <c r="F19" i="1" s="1"/>
  <c r="AX6" i="2"/>
  <c r="G3" i="1" s="1"/>
  <c r="G21" i="12" s="1"/>
  <c r="AW6" i="2"/>
  <c r="AY6" i="2"/>
  <c r="H3" i="1" s="1"/>
  <c r="H21" i="12" s="1"/>
  <c r="AT26" i="2" l="1"/>
  <c r="O22" i="1"/>
  <c r="AS25" i="9"/>
  <c r="AT25" i="9" s="1"/>
  <c r="AS25" i="11"/>
  <c r="AT25" i="11" s="1"/>
  <c r="AV25" i="10"/>
  <c r="AR26" i="2"/>
  <c r="AU26" i="2" s="1"/>
  <c r="F21" i="1"/>
  <c r="AR25" i="2"/>
  <c r="AU25" i="2" s="1"/>
  <c r="AT25" i="2"/>
  <c r="AS24" i="11"/>
  <c r="AT24" i="11" s="1"/>
  <c r="AS24" i="9"/>
  <c r="AT24" i="9" s="1"/>
  <c r="AV24" i="10"/>
  <c r="O21" i="1"/>
  <c r="G5" i="1"/>
  <c r="G10" i="12" s="1"/>
  <c r="G22" i="1"/>
  <c r="G7" i="12" s="1"/>
  <c r="F5" i="1"/>
  <c r="F10" i="12" s="1"/>
  <c r="AT24" i="2"/>
  <c r="AS8" i="11"/>
  <c r="AT8" i="11" s="1"/>
  <c r="AS8" i="9"/>
  <c r="AT8" i="9" s="1"/>
  <c r="O5" i="1"/>
  <c r="AV8" i="10"/>
  <c r="AR24" i="2"/>
  <c r="O15" i="1"/>
  <c r="P15" i="1" s="1"/>
  <c r="AV23" i="10"/>
  <c r="AV9" i="10"/>
  <c r="AW9" i="10" s="1"/>
  <c r="O6" i="1"/>
  <c r="AT8" i="2"/>
  <c r="H11" i="12"/>
  <c r="H22" i="12"/>
  <c r="H8" i="12"/>
  <c r="H20" i="12"/>
  <c r="L13" i="12"/>
  <c r="L4" i="12"/>
  <c r="H4" i="12"/>
  <c r="G15" i="12"/>
  <c r="H19" i="12"/>
  <c r="F8" i="12"/>
  <c r="G20" i="12"/>
  <c r="F22" i="12"/>
  <c r="G4" i="12"/>
  <c r="F11" i="12"/>
  <c r="F13" i="12"/>
  <c r="H9" i="12"/>
  <c r="G6" i="12"/>
  <c r="G12" i="12"/>
  <c r="F6" i="12"/>
  <c r="H17" i="12"/>
  <c r="G13" i="12"/>
  <c r="F19" i="12"/>
  <c r="F18" i="12"/>
  <c r="G17" i="12"/>
  <c r="G9" i="12"/>
  <c r="F3" i="12"/>
  <c r="F17" i="12"/>
  <c r="G5" i="12"/>
  <c r="G11" i="12"/>
  <c r="H6" i="12"/>
  <c r="H15" i="12"/>
  <c r="F9" i="12"/>
  <c r="F4" i="12"/>
  <c r="H10" i="12"/>
  <c r="G19" i="12"/>
  <c r="H5" i="12"/>
  <c r="AT23" i="2"/>
  <c r="AR23" i="2"/>
  <c r="AS23" i="9"/>
  <c r="AT23" i="9" s="1"/>
  <c r="AS23" i="11"/>
  <c r="AT23" i="11" s="1"/>
  <c r="I15" i="1"/>
  <c r="F15" i="12"/>
  <c r="G3" i="12"/>
  <c r="H18" i="12"/>
  <c r="H16" i="12"/>
  <c r="G18" i="12"/>
  <c r="H3" i="12"/>
  <c r="F16" i="12"/>
  <c r="L18" i="12"/>
  <c r="AS21" i="11"/>
  <c r="AT21" i="11" s="1"/>
  <c r="O19" i="1"/>
  <c r="AT21" i="2"/>
  <c r="AT22" i="2"/>
  <c r="O20" i="1"/>
  <c r="AS22" i="11"/>
  <c r="AT22" i="11" s="1"/>
  <c r="AS22" i="9"/>
  <c r="AT22" i="9" s="1"/>
  <c r="AR22" i="2"/>
  <c r="AS21" i="9"/>
  <c r="AT21" i="9" s="1"/>
  <c r="AR12" i="2"/>
  <c r="I9" i="1"/>
  <c r="AS12" i="11"/>
  <c r="AT12" i="11" s="1"/>
  <c r="AT12" i="2"/>
  <c r="AS12" i="9"/>
  <c r="AT12" i="9" s="1"/>
  <c r="O9" i="1"/>
  <c r="AT17" i="2"/>
  <c r="AT14" i="2"/>
  <c r="O14" i="1"/>
  <c r="AS14" i="11"/>
  <c r="AT14" i="11" s="1"/>
  <c r="AS17" i="9"/>
  <c r="AT17" i="9" s="1"/>
  <c r="AS17" i="11"/>
  <c r="AT17" i="11" s="1"/>
  <c r="AV14" i="10"/>
  <c r="AW14" i="10" s="1"/>
  <c r="O11" i="1"/>
  <c r="AT18" i="2"/>
  <c r="O16" i="1"/>
  <c r="N20" i="12" s="1"/>
  <c r="AS18" i="9"/>
  <c r="AT18" i="9" s="1"/>
  <c r="AS18" i="11"/>
  <c r="AT18" i="11" s="1"/>
  <c r="AR30" i="9"/>
  <c r="K17" i="1"/>
  <c r="AR14" i="2"/>
  <c r="I11" i="1"/>
  <c r="AV20" i="10"/>
  <c r="AW20" i="10" s="1"/>
  <c r="AS20" i="11"/>
  <c r="AT20" i="11" s="1"/>
  <c r="O18" i="1"/>
  <c r="AT20" i="2"/>
  <c r="O13" i="1"/>
  <c r="I8" i="1"/>
  <c r="AS19" i="9"/>
  <c r="AT19" i="9" s="1"/>
  <c r="AR11" i="2"/>
  <c r="O17" i="1"/>
  <c r="N13" i="12" s="1"/>
  <c r="AT19" i="2"/>
  <c r="AR20" i="2"/>
  <c r="AS16" i="11"/>
  <c r="AT16" i="11" s="1"/>
  <c r="AS16" i="9"/>
  <c r="AT16" i="9" s="1"/>
  <c r="AT16" i="2"/>
  <c r="AT11" i="2"/>
  <c r="AS19" i="11"/>
  <c r="AT19" i="11" s="1"/>
  <c r="AS7" i="9"/>
  <c r="AT7" i="9" s="1"/>
  <c r="I17" i="1"/>
  <c r="I13" i="12" s="1"/>
  <c r="AR19" i="2"/>
  <c r="AS7" i="11"/>
  <c r="AT7" i="11" s="1"/>
  <c r="AS11" i="9"/>
  <c r="AT11" i="9" s="1"/>
  <c r="O8" i="1"/>
  <c r="AS11" i="11"/>
  <c r="AT11" i="11" s="1"/>
  <c r="AR9" i="2"/>
  <c r="AT9" i="2"/>
  <c r="AS9" i="9"/>
  <c r="AT9" i="9" s="1"/>
  <c r="AS9" i="11"/>
  <c r="AT9" i="11" s="1"/>
  <c r="AR15" i="2"/>
  <c r="AR10" i="2"/>
  <c r="I6" i="1"/>
  <c r="O4" i="1"/>
  <c r="N11" i="12" s="1"/>
  <c r="AT7" i="2"/>
  <c r="AS10" i="9"/>
  <c r="AT10" i="9" s="1"/>
  <c r="AV10" i="10"/>
  <c r="AW10" i="10" s="1"/>
  <c r="AT6" i="2"/>
  <c r="AS6" i="11"/>
  <c r="AT6" i="11" s="1"/>
  <c r="O3" i="1"/>
  <c r="AW6" i="10"/>
  <c r="AS13" i="9"/>
  <c r="AT13" i="9" s="1"/>
  <c r="O10" i="1"/>
  <c r="AS13" i="11"/>
  <c r="AT13" i="11" s="1"/>
  <c r="AW13" i="10"/>
  <c r="AT15" i="2"/>
  <c r="AS15" i="11"/>
  <c r="AT15" i="11" s="1"/>
  <c r="O12" i="1"/>
  <c r="N16" i="12" s="1"/>
  <c r="AW15" i="10"/>
  <c r="I10" i="1"/>
  <c r="G22" i="12"/>
  <c r="O7" i="1"/>
  <c r="N5" i="12" s="1"/>
  <c r="AS10" i="11"/>
  <c r="AT10" i="11" s="1"/>
  <c r="I18" i="1"/>
  <c r="I12" i="1"/>
  <c r="G16" i="12"/>
  <c r="I20" i="1"/>
  <c r="F3" i="1"/>
  <c r="F21" i="12" s="1"/>
  <c r="AT10" i="2"/>
  <c r="I7" i="1"/>
  <c r="F5" i="12"/>
  <c r="I14" i="1"/>
  <c r="AW16" i="10"/>
  <c r="AW19" i="10"/>
  <c r="AW22" i="10"/>
  <c r="AS15" i="9"/>
  <c r="AT15" i="9" s="1"/>
  <c r="AR13" i="2"/>
  <c r="AR7" i="2"/>
  <c r="AS6" i="9"/>
  <c r="AT6" i="9" s="1"/>
  <c r="AT13" i="2"/>
  <c r="I4" i="1"/>
  <c r="AR16" i="2"/>
  <c r="I13" i="1"/>
  <c r="AR8" i="2"/>
  <c r="AR18" i="2"/>
  <c r="AR17" i="2"/>
  <c r="I19" i="1"/>
  <c r="AR21" i="2"/>
  <c r="AR6" i="2"/>
  <c r="I16" i="1"/>
  <c r="I20" i="12" s="1"/>
  <c r="I5" i="1" l="1"/>
  <c r="F14" i="12"/>
  <c r="I21" i="1"/>
  <c r="P21" i="1"/>
  <c r="O14" i="12" s="1"/>
  <c r="N14" i="12"/>
  <c r="P22" i="1"/>
  <c r="O7" i="12" s="1"/>
  <c r="N7" i="12"/>
  <c r="I22" i="1"/>
  <c r="F7" i="12"/>
  <c r="AU24" i="2"/>
  <c r="AU8" i="2"/>
  <c r="I11" i="12"/>
  <c r="I16" i="12"/>
  <c r="N12" i="12"/>
  <c r="I17" i="12"/>
  <c r="I12" i="12"/>
  <c r="N8" i="12"/>
  <c r="K13" i="12"/>
  <c r="K4" i="12"/>
  <c r="N18" i="12"/>
  <c r="N4" i="12"/>
  <c r="N3" i="12"/>
  <c r="N9" i="12"/>
  <c r="N17" i="12"/>
  <c r="N19" i="12"/>
  <c r="N15" i="12"/>
  <c r="I10" i="12"/>
  <c r="I4" i="12"/>
  <c r="I5" i="12"/>
  <c r="I19" i="12"/>
  <c r="N10" i="12"/>
  <c r="N6" i="12"/>
  <c r="I15" i="12"/>
  <c r="AU23" i="2"/>
  <c r="I22" i="12"/>
  <c r="I6" i="12"/>
  <c r="I8" i="12"/>
  <c r="Q15" i="1"/>
  <c r="I3" i="12"/>
  <c r="M17" i="1"/>
  <c r="K18" i="12"/>
  <c r="P19" i="1"/>
  <c r="AU22" i="2"/>
  <c r="AU21" i="2"/>
  <c r="P20" i="1"/>
  <c r="AU12" i="2"/>
  <c r="P9" i="1"/>
  <c r="AU17" i="2"/>
  <c r="P11" i="1"/>
  <c r="AU14" i="2"/>
  <c r="P14" i="1"/>
  <c r="P16" i="1"/>
  <c r="O20" i="12" s="1"/>
  <c r="AU18" i="2"/>
  <c r="AU20" i="2"/>
  <c r="P18" i="1"/>
  <c r="P17" i="1"/>
  <c r="P13" i="1"/>
  <c r="O3" i="12" s="1"/>
  <c r="AU7" i="2"/>
  <c r="P12" i="1"/>
  <c r="O16" i="12" s="1"/>
  <c r="AU19" i="2"/>
  <c r="AU16" i="2"/>
  <c r="AU11" i="2"/>
  <c r="AU15" i="2"/>
  <c r="AU9" i="2"/>
  <c r="P6" i="1"/>
  <c r="Q6" i="1" s="1"/>
  <c r="P7" i="1"/>
  <c r="AU10" i="2"/>
  <c r="P4" i="1"/>
  <c r="AU6" i="2"/>
  <c r="I3" i="1"/>
  <c r="I18" i="12" s="1"/>
  <c r="P3" i="1"/>
  <c r="N21" i="12"/>
  <c r="N22" i="12"/>
  <c r="P10" i="1"/>
  <c r="I9" i="12"/>
  <c r="AW11" i="10"/>
  <c r="P5" i="1"/>
  <c r="AW8" i="10"/>
  <c r="AU13" i="2"/>
  <c r="P8" i="1"/>
  <c r="Q8" i="1" s="1"/>
  <c r="I14" i="12" l="1"/>
  <c r="Q21" i="1"/>
  <c r="I7" i="12"/>
  <c r="Q22" i="1"/>
  <c r="P7" i="12" s="1"/>
  <c r="O6" i="12"/>
  <c r="O22" i="12"/>
  <c r="O21" i="12"/>
  <c r="M13" i="12"/>
  <c r="M4" i="12"/>
  <c r="O18" i="12"/>
  <c r="O5" i="12"/>
  <c r="O4" i="12"/>
  <c r="O15" i="12"/>
  <c r="O9" i="12"/>
  <c r="O17" i="12"/>
  <c r="O11" i="12"/>
  <c r="O13" i="12"/>
  <c r="O19" i="12"/>
  <c r="Q3" i="1"/>
  <c r="Q9" i="1"/>
  <c r="Q10" i="1"/>
  <c r="M18" i="12"/>
  <c r="Q19" i="1"/>
  <c r="Q20" i="1"/>
  <c r="Q11" i="1"/>
  <c r="Q18" i="1"/>
  <c r="P19" i="12" s="1"/>
  <c r="Q16" i="1"/>
  <c r="P20" i="12" s="1"/>
  <c r="Q14" i="1"/>
  <c r="P9" i="12" s="1"/>
  <c r="Q17" i="1"/>
  <c r="Q12" i="1"/>
  <c r="Q13" i="1"/>
  <c r="Q7" i="1"/>
  <c r="P5" i="12" s="1"/>
  <c r="O12" i="12"/>
  <c r="Q4" i="1"/>
  <c r="P11" i="12" s="1"/>
  <c r="I21" i="12"/>
  <c r="O8" i="12"/>
  <c r="Q5" i="1"/>
  <c r="O10" i="12"/>
  <c r="P14" i="12" l="1"/>
  <c r="P22" i="12"/>
  <c r="P8" i="12"/>
  <c r="P21" i="12"/>
  <c r="P10" i="12"/>
  <c r="P15" i="12"/>
  <c r="P17" i="12"/>
  <c r="P6" i="12"/>
  <c r="P12" i="12"/>
  <c r="P3" i="12"/>
  <c r="P13" i="12"/>
  <c r="P4" i="12"/>
  <c r="P16" i="12"/>
  <c r="P18" i="12"/>
</calcChain>
</file>

<file path=xl/sharedStrings.xml><?xml version="1.0" encoding="utf-8"?>
<sst xmlns="http://schemas.openxmlformats.org/spreadsheetml/2006/main" count="1067" uniqueCount="131">
  <si>
    <t>Punkte</t>
  </si>
  <si>
    <t>Tordiff.</t>
  </si>
  <si>
    <t>Name</t>
  </si>
  <si>
    <t>Rg</t>
  </si>
  <si>
    <t>SpU</t>
  </si>
  <si>
    <t>S</t>
  </si>
  <si>
    <t>N</t>
  </si>
  <si>
    <t>U</t>
  </si>
  <si>
    <t>Pkt</t>
  </si>
  <si>
    <t>Sp</t>
  </si>
  <si>
    <t>A</t>
  </si>
  <si>
    <t>Pkt/Sp+A</t>
  </si>
  <si>
    <t>Roman</t>
  </si>
  <si>
    <t>Harry Sch.</t>
  </si>
  <si>
    <t>Berni</t>
  </si>
  <si>
    <t>Lukas</t>
  </si>
  <si>
    <t>Harry S.</t>
  </si>
  <si>
    <t>Gerald</t>
  </si>
  <si>
    <t>Harry H.</t>
  </si>
  <si>
    <t>Walter</t>
  </si>
  <si>
    <t>Andi</t>
  </si>
  <si>
    <t>Gerhard C.</t>
  </si>
  <si>
    <t>Franz</t>
  </si>
  <si>
    <t>Bernhardt</t>
  </si>
  <si>
    <t>Tommy</t>
  </si>
  <si>
    <t>Andi K.</t>
  </si>
  <si>
    <t>Gerhard L.</t>
  </si>
  <si>
    <t>Thomas</t>
  </si>
  <si>
    <t>Viktor</t>
  </si>
  <si>
    <t>Spiele</t>
  </si>
  <si>
    <t>Tore</t>
  </si>
  <si>
    <t>Gegentore</t>
  </si>
  <si>
    <t>Datum</t>
  </si>
  <si>
    <t>Aufstellung</t>
  </si>
  <si>
    <t>gegen</t>
  </si>
  <si>
    <t>Resultat</t>
  </si>
  <si>
    <t>:</t>
  </si>
  <si>
    <t>ET</t>
  </si>
  <si>
    <t>Anwesenheit - "Rekordnationalspieler"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</si>
  <si>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</si>
  <si>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</si>
  <si>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</si>
  <si>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</si>
  <si>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</si>
  <si>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</si>
  <si>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</si>
  <si>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</si>
  <si>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</si>
  <si>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</si>
  <si>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</si>
  <si>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</si>
  <si>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</si>
  <si>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Spiele gesamt</t>
  </si>
  <si>
    <t>Toni</t>
  </si>
  <si>
    <t>Hannes</t>
  </si>
  <si>
    <t>Peter</t>
  </si>
  <si>
    <t>Martin</t>
  </si>
  <si>
    <t>Summe:</t>
  </si>
  <si>
    <t>Geburtstage</t>
  </si>
  <si>
    <t>Andreas Krammer</t>
  </si>
  <si>
    <t>Roman Theurer</t>
  </si>
  <si>
    <t>Harry Schön</t>
  </si>
  <si>
    <t>Gerhard Czernoch</t>
  </si>
  <si>
    <t>Viktor Hölbl</t>
  </si>
  <si>
    <t>Andreas Chvatal</t>
  </si>
  <si>
    <t>Walter Hackl</t>
  </si>
  <si>
    <t>Thomas Krammer</t>
  </si>
  <si>
    <t>Thomas Schneider</t>
  </si>
  <si>
    <t>Bernhard Buchtele</t>
  </si>
  <si>
    <t>Harry Horvath</t>
  </si>
  <si>
    <t>Franz Ury</t>
  </si>
  <si>
    <t xml:space="preserve">Harry Schmid </t>
  </si>
  <si>
    <t>Lukas Krammer</t>
  </si>
  <si>
    <t>Gerald Krammer</t>
  </si>
  <si>
    <t>Gerhard Lahofer</t>
  </si>
  <si>
    <t>Saison</t>
  </si>
  <si>
    <t>T/Sp</t>
  </si>
  <si>
    <t>Zeit</t>
  </si>
  <si>
    <t>Min</t>
  </si>
  <si>
    <t>GT</t>
  </si>
  <si>
    <t>GT/Spiel</t>
  </si>
  <si>
    <t>T/Spiel</t>
  </si>
  <si>
    <t>TT</t>
  </si>
  <si>
    <t>gespielt:</t>
  </si>
  <si>
    <t>zu 7</t>
  </si>
  <si>
    <t>zu 8</t>
  </si>
  <si>
    <t>zu 9</t>
  </si>
  <si>
    <t>zu 10</t>
  </si>
  <si>
    <t>zu 11</t>
  </si>
  <si>
    <t>zu 12</t>
  </si>
  <si>
    <t>zu 13</t>
  </si>
  <si>
    <t>zu 14</t>
  </si>
  <si>
    <t>zu 15</t>
  </si>
  <si>
    <t>zu 16</t>
  </si>
  <si>
    <t>2017/2018</t>
  </si>
  <si>
    <t>2018/2019</t>
  </si>
  <si>
    <t>2019/2020</t>
  </si>
  <si>
    <t>Martin H.</t>
  </si>
  <si>
    <t>Martin Hölbl</t>
  </si>
  <si>
    <t>Spiele/J:</t>
  </si>
  <si>
    <t>TT/Spiel</t>
  </si>
  <si>
    <t>Unterzahl</t>
  </si>
  <si>
    <t>Unterzahl / Gewonnen</t>
  </si>
  <si>
    <t>Unterzahl / Verloren</t>
  </si>
  <si>
    <t>Unterzahl / Unentschieden</t>
  </si>
  <si>
    <t>Insgesamt Unentschieden</t>
  </si>
  <si>
    <t>1 Tor Differenz</t>
  </si>
  <si>
    <t>Spielausgang zu 0</t>
  </si>
  <si>
    <t>Höchster Sieg : Höchste Niederlage</t>
  </si>
  <si>
    <t>Meisten Tore in einem Spiel</t>
  </si>
  <si>
    <t>Man of the Year</t>
  </si>
  <si>
    <t>Torschützenkönig</t>
  </si>
  <si>
    <t>Berni/Gerhard L.</t>
  </si>
  <si>
    <t>Bernhardt/Gerhard L.</t>
  </si>
  <si>
    <t>Bernhardt/Lukas</t>
  </si>
  <si>
    <t>2020/2021</t>
  </si>
  <si>
    <t>2021/2022</t>
  </si>
  <si>
    <t>2022/2023</t>
  </si>
  <si>
    <t>2023/2024</t>
  </si>
  <si>
    <t>Alex</t>
  </si>
  <si>
    <t>Christoph</t>
  </si>
  <si>
    <t>2024/2025</t>
  </si>
  <si>
    <t>Mario</t>
  </si>
  <si>
    <t>Niki</t>
  </si>
  <si>
    <t>Mario Murrent</t>
  </si>
  <si>
    <t>Niki Karall</t>
  </si>
  <si>
    <t>Alex Bock</t>
  </si>
  <si>
    <t>Gergard C.</t>
  </si>
  <si>
    <t>10:2</t>
  </si>
  <si>
    <t>Gerld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</si>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</sst>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"/>
    <numFmt numFmtId="165" formatCode="0;[Red]0"/>
    <numFmt numFmtId="166" formatCode="0.0;[Red]0.0"/>
    <numFmt numFmtId="167" formatCode="0.0"/>
  </numFmts>
  <fonts count="2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0"/>
      <name val="Arial CE"/>
      <family val="2"/>
      <charset val="238"/>
    </font>
    <font>
      <b/>
      <i/>
      <sz val="12"/>
      <name val="Georgia"/>
      <family val="1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8"/>
      <name val="Arial"/>
      <family val="2"/>
    </font>
    <font>
      <b/>
      <i/>
      <sz val="10"/>
      <name val="Georgia"/>
      <family val="1"/>
    </font>
    <font>
      <b/>
      <sz val="9"/>
      <name val="Arial"/>
      <family val="2"/>
    </font>
    <font>
      <b/>
      <sz val="2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99FF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344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4" fontId="7" fillId="8" borderId="24" xfId="0" applyNumberFormat="1" applyFont="1" applyFill="1" applyBorder="1" applyAlignment="1">
      <alignment horizontal="center"/>
    </xf>
    <xf numFmtId="164" fontId="7" fillId="8" borderId="25" xfId="0" applyNumberFormat="1" applyFont="1" applyFill="1" applyBorder="1" applyAlignment="1">
      <alignment horizontal="center"/>
    </xf>
    <xf numFmtId="164" fontId="8" fillId="4" borderId="20" xfId="0" applyNumberFormat="1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0" fillId="0" borderId="12" xfId="0" applyBorder="1"/>
    <xf numFmtId="0" fontId="5" fillId="3" borderId="22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0" fillId="14" borderId="49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0" xfId="0" applyBorder="1"/>
    <xf numFmtId="0" fontId="0" fillId="0" borderId="5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8" borderId="49" xfId="0" applyFill="1" applyBorder="1" applyAlignment="1">
      <alignment horizontal="center"/>
    </xf>
    <xf numFmtId="0" fontId="5" fillId="8" borderId="55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0" fillId="0" borderId="51" xfId="0" applyBorder="1"/>
    <xf numFmtId="0" fontId="0" fillId="0" borderId="50" xfId="0" applyBorder="1"/>
    <xf numFmtId="0" fontId="0" fillId="0" borderId="54" xfId="0" applyBorder="1"/>
    <xf numFmtId="0" fontId="5" fillId="13" borderId="1" xfId="0" applyFont="1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5" fillId="14" borderId="26" xfId="0" applyFont="1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5" fillId="14" borderId="55" xfId="0" applyFont="1" applyFill="1" applyBorder="1" applyAlignment="1">
      <alignment horizontal="center"/>
    </xf>
    <xf numFmtId="0" fontId="0" fillId="0" borderId="50" xfId="0" applyFill="1" applyBorder="1" applyAlignment="1"/>
    <xf numFmtId="0" fontId="0" fillId="15" borderId="49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9" fillId="3" borderId="10" xfId="0" applyFont="1" applyFill="1" applyBorder="1"/>
    <xf numFmtId="0" fontId="0" fillId="0" borderId="12" xfId="0" applyBorder="1" applyAlignment="1">
      <alignment horizontal="center"/>
    </xf>
    <xf numFmtId="0" fontId="6" fillId="0" borderId="0" xfId="0" applyFont="1" applyBorder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12" borderId="44" xfId="0" applyFont="1" applyFill="1" applyBorder="1" applyAlignment="1">
      <alignment horizontal="center"/>
    </xf>
    <xf numFmtId="0" fontId="5" fillId="16" borderId="16" xfId="0" applyFont="1" applyFill="1" applyBorder="1" applyAlignment="1">
      <alignment horizontal="center"/>
    </xf>
    <xf numFmtId="0" fontId="5" fillId="16" borderId="14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5" fillId="17" borderId="14" xfId="0" applyFont="1" applyFill="1" applyBorder="1" applyAlignment="1">
      <alignment horizontal="center"/>
    </xf>
    <xf numFmtId="0" fontId="5" fillId="17" borderId="15" xfId="0" applyFont="1" applyFill="1" applyBorder="1" applyAlignment="1">
      <alignment horizontal="center"/>
    </xf>
    <xf numFmtId="0" fontId="0" fillId="0" borderId="1" xfId="0" applyBorder="1"/>
    <xf numFmtId="164" fontId="7" fillId="8" borderId="5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4" fillId="3" borderId="13" xfId="0" applyFont="1" applyFill="1" applyBorder="1"/>
    <xf numFmtId="0" fontId="13" fillId="0" borderId="27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4" fillId="3" borderId="14" xfId="0" applyFont="1" applyFill="1" applyBorder="1"/>
    <xf numFmtId="0" fontId="13" fillId="0" borderId="28" xfId="0" applyFont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13" fillId="0" borderId="57" xfId="0" applyFont="1" applyBorder="1" applyAlignment="1">
      <alignment horizontal="center"/>
    </xf>
    <xf numFmtId="0" fontId="13" fillId="0" borderId="58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9" borderId="28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4" fillId="3" borderId="15" xfId="0" applyFont="1" applyFill="1" applyBorder="1"/>
    <xf numFmtId="0" fontId="13" fillId="0" borderId="35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4" fillId="3" borderId="1" xfId="0" applyFont="1" applyFill="1" applyBorder="1"/>
    <xf numFmtId="0" fontId="13" fillId="0" borderId="49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5" fillId="9" borderId="0" xfId="0" applyFont="1" applyFill="1"/>
    <xf numFmtId="14" fontId="0" fillId="0" borderId="12" xfId="0" applyNumberFormat="1" applyBorder="1" applyAlignment="1">
      <alignment horizontal="center"/>
    </xf>
    <xf numFmtId="14" fontId="14" fillId="0" borderId="12" xfId="0" applyNumberFormat="1" applyFont="1" applyBorder="1" applyAlignment="1">
      <alignment horizontal="center"/>
    </xf>
    <xf numFmtId="0" fontId="5" fillId="16" borderId="34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164" fontId="8" fillId="16" borderId="1" xfId="0" applyNumberFormat="1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9" fillId="3" borderId="19" xfId="0" applyFont="1" applyFill="1" applyBorder="1"/>
    <xf numFmtId="0" fontId="5" fillId="17" borderId="13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9" fillId="3" borderId="48" xfId="0" applyFont="1" applyFill="1" applyBorder="1"/>
    <xf numFmtId="0" fontId="9" fillId="3" borderId="18" xfId="0" applyFont="1" applyFill="1" applyBorder="1"/>
    <xf numFmtId="0" fontId="0" fillId="10" borderId="55" xfId="0" applyFill="1" applyBorder="1"/>
    <xf numFmtId="0" fontId="5" fillId="4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16" fillId="10" borderId="49" xfId="0" applyFont="1" applyFill="1" applyBorder="1"/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41" xfId="0" applyFont="1" applyBorder="1"/>
    <xf numFmtId="0" fontId="17" fillId="0" borderId="42" xfId="0" applyFont="1" applyBorder="1"/>
    <xf numFmtId="0" fontId="17" fillId="0" borderId="43" xfId="0" applyFont="1" applyBorder="1"/>
    <xf numFmtId="0" fontId="17" fillId="0" borderId="30" xfId="0" applyFont="1" applyBorder="1"/>
    <xf numFmtId="165" fontId="17" fillId="0" borderId="31" xfId="0" applyNumberFormat="1" applyFont="1" applyBorder="1" applyAlignment="1">
      <alignment horizontal="right"/>
    </xf>
    <xf numFmtId="0" fontId="17" fillId="0" borderId="9" xfId="0" applyFont="1" applyBorder="1"/>
    <xf numFmtId="0" fontId="17" fillId="0" borderId="12" xfId="0" applyFont="1" applyBorder="1"/>
    <xf numFmtId="0" fontId="17" fillId="0" borderId="44" xfId="0" applyFont="1" applyBorder="1"/>
    <xf numFmtId="0" fontId="17" fillId="0" borderId="27" xfId="0" applyFont="1" applyBorder="1"/>
    <xf numFmtId="166" fontId="17" fillId="0" borderId="44" xfId="0" applyNumberFormat="1" applyFont="1" applyBorder="1" applyAlignment="1">
      <alignment horizontal="right"/>
    </xf>
    <xf numFmtId="0" fontId="17" fillId="0" borderId="8" xfId="0" applyFont="1" applyBorder="1"/>
    <xf numFmtId="0" fontId="17" fillId="0" borderId="47" xfId="0" applyFont="1" applyBorder="1"/>
    <xf numFmtId="0" fontId="0" fillId="0" borderId="12" xfId="0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5" borderId="49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0" fillId="18" borderId="16" xfId="0" applyFill="1" applyBorder="1"/>
    <xf numFmtId="167" fontId="0" fillId="18" borderId="16" xfId="0" applyNumberFormat="1" applyFill="1" applyBorder="1"/>
    <xf numFmtId="167" fontId="0" fillId="18" borderId="14" xfId="0" applyNumberFormat="1" applyFill="1" applyBorder="1"/>
    <xf numFmtId="167" fontId="0" fillId="18" borderId="15" xfId="0" applyNumberFormat="1" applyFill="1" applyBorder="1"/>
    <xf numFmtId="0" fontId="1" fillId="2" borderId="38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9" fillId="3" borderId="14" xfId="0" applyFont="1" applyFill="1" applyBorder="1"/>
    <xf numFmtId="164" fontId="7" fillId="8" borderId="66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0" fillId="0" borderId="41" xfId="0" applyBorder="1"/>
    <xf numFmtId="0" fontId="0" fillId="0" borderId="43" xfId="0" applyBorder="1" applyAlignment="1">
      <alignment horizontal="center"/>
    </xf>
    <xf numFmtId="0" fontId="0" fillId="0" borderId="9" xfId="0" applyBorder="1"/>
    <xf numFmtId="0" fontId="0" fillId="0" borderId="44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7" fillId="0" borderId="0" xfId="0" applyFont="1" applyFill="1" applyBorder="1"/>
    <xf numFmtId="0" fontId="0" fillId="0" borderId="30" xfId="0" applyFill="1" applyBorder="1" applyAlignment="1">
      <alignment horizontal="center"/>
    </xf>
    <xf numFmtId="0" fontId="10" fillId="12" borderId="3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42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6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0" fillId="0" borderId="0" xfId="0" applyFill="1"/>
    <xf numFmtId="0" fontId="4" fillId="3" borderId="67" xfId="0" applyFont="1" applyFill="1" applyBorder="1"/>
    <xf numFmtId="0" fontId="0" fillId="0" borderId="32" xfId="0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17" fillId="0" borderId="0" xfId="0" applyFont="1" applyBorder="1"/>
    <xf numFmtId="165" fontId="17" fillId="0" borderId="0" xfId="0" applyNumberFormat="1" applyFont="1" applyBorder="1" applyAlignment="1">
      <alignment horizontal="right"/>
    </xf>
    <xf numFmtId="166" fontId="17" fillId="0" borderId="0" xfId="0" applyNumberFormat="1" applyFont="1" applyBorder="1" applyAlignment="1">
      <alignment horizontal="right"/>
    </xf>
    <xf numFmtId="0" fontId="17" fillId="20" borderId="12" xfId="0" applyFont="1" applyFill="1" applyBorder="1"/>
    <xf numFmtId="0" fontId="17" fillId="0" borderId="0" xfId="0" applyFont="1" applyBorder="1" applyAlignment="1">
      <alignment horizontal="center"/>
    </xf>
    <xf numFmtId="0" fontId="17" fillId="0" borderId="0" xfId="0" applyFont="1" applyFill="1" applyBorder="1"/>
    <xf numFmtId="165" fontId="17" fillId="0" borderId="0" xfId="0" applyNumberFormat="1" applyFont="1" applyFill="1" applyBorder="1" applyAlignment="1">
      <alignment horizontal="right"/>
    </xf>
    <xf numFmtId="166" fontId="17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9" fillId="3" borderId="45" xfId="0" applyFont="1" applyFill="1" applyBorder="1"/>
    <xf numFmtId="9" fontId="0" fillId="0" borderId="0" xfId="1" applyFont="1"/>
    <xf numFmtId="0" fontId="17" fillId="0" borderId="9" xfId="0" applyFont="1" applyFill="1" applyBorder="1"/>
    <xf numFmtId="0" fontId="17" fillId="0" borderId="12" xfId="0" applyFont="1" applyFill="1" applyBorder="1"/>
    <xf numFmtId="0" fontId="17" fillId="0" borderId="44" xfId="0" applyFont="1" applyFill="1" applyBorder="1"/>
    <xf numFmtId="0" fontId="17" fillId="0" borderId="27" xfId="0" applyFont="1" applyFill="1" applyBorder="1"/>
    <xf numFmtId="165" fontId="17" fillId="0" borderId="31" xfId="0" applyNumberFormat="1" applyFont="1" applyFill="1" applyBorder="1" applyAlignment="1">
      <alignment horizontal="right"/>
    </xf>
    <xf numFmtId="166" fontId="17" fillId="0" borderId="44" xfId="0" applyNumberFormat="1" applyFont="1" applyFill="1" applyBorder="1" applyAlignment="1">
      <alignment horizontal="right"/>
    </xf>
    <xf numFmtId="0" fontId="17" fillId="0" borderId="62" xfId="0" applyFont="1" applyFill="1" applyBorder="1"/>
    <xf numFmtId="0" fontId="17" fillId="0" borderId="60" xfId="0" applyFont="1" applyFill="1" applyBorder="1"/>
    <xf numFmtId="0" fontId="17" fillId="0" borderId="63" xfId="0" applyFont="1" applyFill="1" applyBorder="1"/>
    <xf numFmtId="0" fontId="17" fillId="0" borderId="59" xfId="0" applyFont="1" applyFill="1" applyBorder="1"/>
    <xf numFmtId="166" fontId="17" fillId="0" borderId="63" xfId="0" applyNumberFormat="1" applyFont="1" applyFill="1" applyBorder="1" applyAlignment="1">
      <alignment horizontal="right"/>
    </xf>
    <xf numFmtId="0" fontId="0" fillId="9" borderId="13" xfId="0" applyFill="1" applyBorder="1"/>
    <xf numFmtId="0" fontId="0" fillId="9" borderId="14" xfId="0" applyFill="1" applyBorder="1"/>
    <xf numFmtId="0" fontId="0" fillId="9" borderId="65" xfId="0" applyFill="1" applyBorder="1"/>
    <xf numFmtId="165" fontId="17" fillId="0" borderId="28" xfId="0" applyNumberFormat="1" applyFont="1" applyFill="1" applyBorder="1" applyAlignment="1">
      <alignment horizontal="right"/>
    </xf>
    <xf numFmtId="0" fontId="17" fillId="0" borderId="64" xfId="0" applyFont="1" applyBorder="1"/>
    <xf numFmtId="165" fontId="17" fillId="0" borderId="69" xfId="0" applyNumberFormat="1" applyFont="1" applyBorder="1" applyAlignment="1">
      <alignment horizontal="right"/>
    </xf>
    <xf numFmtId="166" fontId="17" fillId="0" borderId="43" xfId="0" applyNumberFormat="1" applyFont="1" applyBorder="1" applyAlignment="1">
      <alignment horizontal="right"/>
    </xf>
    <xf numFmtId="165" fontId="17" fillId="0" borderId="70" xfId="0" applyNumberFormat="1" applyFont="1" applyFill="1" applyBorder="1" applyAlignment="1">
      <alignment horizontal="right"/>
    </xf>
    <xf numFmtId="0" fontId="0" fillId="25" borderId="0" xfId="0" applyFill="1"/>
    <xf numFmtId="0" fontId="16" fillId="0" borderId="0" xfId="0" applyFont="1"/>
    <xf numFmtId="0" fontId="16" fillId="11" borderId="21" xfId="0" applyFont="1" applyFill="1" applyBorder="1" applyAlignment="1">
      <alignment horizontal="center" vertical="center"/>
    </xf>
    <xf numFmtId="0" fontId="16" fillId="23" borderId="13" xfId="0" applyFont="1" applyFill="1" applyBorder="1" applyAlignment="1">
      <alignment horizontal="center" vertical="center"/>
    </xf>
    <xf numFmtId="0" fontId="16" fillId="22" borderId="17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/>
    </xf>
    <xf numFmtId="0" fontId="16" fillId="26" borderId="17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16" fillId="23" borderId="14" xfId="0" applyFont="1" applyFill="1" applyBorder="1" applyAlignment="1">
      <alignment horizontal="center"/>
    </xf>
    <xf numFmtId="0" fontId="16" fillId="22" borderId="18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6" fillId="26" borderId="18" xfId="0" applyFont="1" applyFill="1" applyBorder="1" applyAlignment="1">
      <alignment horizontal="center"/>
    </xf>
    <xf numFmtId="0" fontId="16" fillId="0" borderId="0" xfId="0" applyFont="1" applyBorder="1"/>
    <xf numFmtId="0" fontId="16" fillId="21" borderId="13" xfId="0" applyFont="1" applyFill="1" applyBorder="1" applyAlignment="1">
      <alignment horizontal="center"/>
    </xf>
    <xf numFmtId="0" fontId="16" fillId="21" borderId="14" xfId="0" applyFont="1" applyFill="1" applyBorder="1" applyAlignment="1">
      <alignment horizontal="center"/>
    </xf>
    <xf numFmtId="0" fontId="16" fillId="21" borderId="65" xfId="0" applyFont="1" applyFill="1" applyBorder="1" applyAlignment="1">
      <alignment horizontal="center"/>
    </xf>
    <xf numFmtId="0" fontId="16" fillId="11" borderId="51" xfId="0" applyFont="1" applyFill="1" applyBorder="1" applyAlignment="1">
      <alignment horizontal="center"/>
    </xf>
    <xf numFmtId="0" fontId="16" fillId="23" borderId="65" xfId="0" applyFont="1" applyFill="1" applyBorder="1" applyAlignment="1">
      <alignment horizontal="center"/>
    </xf>
    <xf numFmtId="0" fontId="16" fillId="22" borderId="54" xfId="0" applyFont="1" applyFill="1" applyBorder="1" applyAlignment="1">
      <alignment horizontal="center"/>
    </xf>
    <xf numFmtId="0" fontId="16" fillId="16" borderId="65" xfId="0" applyFont="1" applyFill="1" applyBorder="1" applyAlignment="1">
      <alignment horizontal="center"/>
    </xf>
    <xf numFmtId="0" fontId="16" fillId="26" borderId="54" xfId="0" applyFont="1" applyFill="1" applyBorder="1" applyAlignment="1">
      <alignment horizontal="center"/>
    </xf>
    <xf numFmtId="0" fontId="13" fillId="9" borderId="61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7" fillId="0" borderId="8" xfId="0" applyFont="1" applyFill="1" applyBorder="1"/>
    <xf numFmtId="0" fontId="17" fillId="0" borderId="30" xfId="0" applyFont="1" applyFill="1" applyBorder="1"/>
    <xf numFmtId="0" fontId="17" fillId="0" borderId="47" xfId="0" applyFont="1" applyFill="1" applyBorder="1"/>
    <xf numFmtId="0" fontId="17" fillId="0" borderId="29" xfId="0" applyFont="1" applyFill="1" applyBorder="1"/>
    <xf numFmtId="166" fontId="17" fillId="0" borderId="47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71" xfId="0" applyFont="1" applyBorder="1" applyAlignment="1">
      <alignment horizontal="center"/>
    </xf>
    <xf numFmtId="0" fontId="13" fillId="0" borderId="68" xfId="0" applyFont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12" xfId="0" applyBorder="1" applyAlignment="1">
      <alignment horizontal="center"/>
    </xf>
    <xf numFmtId="0" fontId="20" fillId="0" borderId="0" xfId="0" applyFont="1"/>
    <xf numFmtId="0" fontId="0" fillId="0" borderId="1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3" borderId="72" xfId="0" applyFont="1" applyFill="1" applyBorder="1" applyAlignment="1">
      <alignment horizontal="center"/>
    </xf>
    <xf numFmtId="0" fontId="5" fillId="17" borderId="67" xfId="0" applyFont="1" applyFill="1" applyBorder="1" applyAlignment="1">
      <alignment horizontal="center"/>
    </xf>
    <xf numFmtId="0" fontId="9" fillId="3" borderId="73" xfId="0" applyFont="1" applyFill="1" applyBorder="1"/>
    <xf numFmtId="167" fontId="0" fillId="18" borderId="67" xfId="0" applyNumberFormat="1" applyFill="1" applyBorder="1"/>
    <xf numFmtId="0" fontId="14" fillId="0" borderId="36" xfId="0" applyFont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6" borderId="27" xfId="0" applyFont="1" applyFill="1" applyBorder="1" applyAlignment="1">
      <alignment horizontal="center"/>
    </xf>
    <xf numFmtId="0" fontId="13" fillId="9" borderId="31" xfId="0" applyFont="1" applyFill="1" applyBorder="1" applyAlignment="1">
      <alignment horizontal="center"/>
    </xf>
    <xf numFmtId="0" fontId="13" fillId="9" borderId="3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/>
    <xf numFmtId="0" fontId="13" fillId="9" borderId="40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7" xfId="0" applyFont="1" applyBorder="1" applyAlignment="1">
      <alignment horizontal="center"/>
    </xf>
    <xf numFmtId="0" fontId="13" fillId="0" borderId="63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0" borderId="69" xfId="0" applyFont="1" applyBorder="1" applyAlignment="1">
      <alignment horizontal="center"/>
    </xf>
    <xf numFmtId="0" fontId="13" fillId="0" borderId="7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5" fillId="17" borderId="12" xfId="0" applyFont="1" applyFill="1" applyBorder="1" applyAlignment="1">
      <alignment horizontal="center"/>
    </xf>
    <xf numFmtId="0" fontId="4" fillId="3" borderId="12" xfId="0" applyFont="1" applyFill="1" applyBorder="1" applyAlignment="1"/>
    <xf numFmtId="0" fontId="10" fillId="19" borderId="12" xfId="0" applyFont="1" applyFill="1" applyBorder="1" applyAlignment="1">
      <alignment horizontal="center"/>
    </xf>
    <xf numFmtId="0" fontId="21" fillId="0" borderId="12" xfId="0" applyFont="1" applyBorder="1"/>
    <xf numFmtId="164" fontId="4" fillId="3" borderId="12" xfId="0" applyNumberFormat="1" applyFont="1" applyFill="1" applyBorder="1" applyAlignment="1"/>
    <xf numFmtId="0" fontId="5" fillId="3" borderId="9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0" fontId="5" fillId="17" borderId="36" xfId="0" applyFont="1" applyFill="1" applyBorder="1" applyAlignment="1">
      <alignment horizontal="center"/>
    </xf>
    <xf numFmtId="0" fontId="4" fillId="3" borderId="36" xfId="0" applyFont="1" applyFill="1" applyBorder="1" applyAlignment="1"/>
    <xf numFmtId="0" fontId="10" fillId="19" borderId="36" xfId="0" applyFont="1" applyFill="1" applyBorder="1" applyAlignment="1">
      <alignment horizontal="center"/>
    </xf>
    <xf numFmtId="0" fontId="10" fillId="12" borderId="36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0" fontId="3" fillId="7" borderId="46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17" borderId="30" xfId="0" applyFont="1" applyFill="1" applyBorder="1" applyAlignment="1">
      <alignment horizontal="center"/>
    </xf>
    <xf numFmtId="0" fontId="4" fillId="3" borderId="30" xfId="0" applyFont="1" applyFill="1" applyBorder="1" applyAlignment="1"/>
    <xf numFmtId="0" fontId="10" fillId="19" borderId="30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0" fontId="3" fillId="7" borderId="4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4" fillId="3" borderId="34" xfId="0" applyFont="1" applyFill="1" applyBorder="1"/>
    <xf numFmtId="0" fontId="13" fillId="0" borderId="74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17" borderId="41" xfId="0" applyFill="1" applyBorder="1" applyAlignment="1">
      <alignment horizontal="center"/>
    </xf>
    <xf numFmtId="0" fontId="0" fillId="17" borderId="42" xfId="0" applyFill="1" applyBorder="1" applyAlignment="1">
      <alignment horizontal="center"/>
    </xf>
    <xf numFmtId="0" fontId="0" fillId="17" borderId="43" xfId="0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6" fillId="24" borderId="2" xfId="0" applyFont="1" applyFill="1" applyBorder="1" applyAlignment="1">
      <alignment horizontal="center"/>
    </xf>
    <xf numFmtId="0" fontId="16" fillId="24" borderId="3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Gesamte</a:t>
            </a:r>
            <a:r>
              <a:rPr lang="en-US" baseline="0"/>
              <a:t> Tore: 229</a:t>
            </a:r>
          </a:p>
          <a:p>
            <a:pPr>
              <a:defRPr/>
            </a:pPr>
            <a:r>
              <a:rPr lang="en-US" baseline="0"/>
              <a:t>(ausgenommen ET)</a:t>
            </a:r>
            <a:endParaRPr lang="en-US"/>
          </a:p>
        </c:rich>
      </c:tx>
      <c:layout>
        <c:manualLayout>
          <c:xMode val="edge"/>
          <c:yMode val="edge"/>
          <c:x val="1.6261727054966101E-2"/>
          <c:y val="3.1628356024880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Tore!$AT$5</c:f>
              <c:strCache>
                <c:ptCount val="1"/>
                <c:pt idx="0">
                  <c:v>Tore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B1A-402B-A326-FF9F4D1E95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B1A-402B-A326-FF9F4D1E95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B1A-402B-A326-FF9F4D1E95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B1A-402B-A326-FF9F4D1E95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B1A-402B-A326-FF9F4D1E95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B1A-402B-A326-FF9F4D1E95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B1A-402B-A326-FF9F4D1E95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B1A-402B-A326-FF9F4D1E95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B1A-402B-A326-FF9F4D1E95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B1A-402B-A326-FF9F4D1E95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B1A-402B-A326-FF9F4D1E951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B1A-402B-A326-FF9F4D1E951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B1A-402B-A326-FF9F4D1E951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4B1A-402B-A326-FF9F4D1E951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4B1A-402B-A326-FF9F4D1E951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4B1A-402B-A326-FF9F4D1E951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4B1A-402B-A326-FF9F4D1E951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4B1A-402B-A326-FF9F4D1E951E}"/>
              </c:ext>
            </c:extLst>
          </c:dPt>
          <c:dLbls>
            <c:dLbl>
              <c:idx val="0"/>
              <c:layout>
                <c:manualLayout>
                  <c:x val="3.8074454432121464E-2"/>
                  <c:y val="-2.15180279351788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1A-402B-A326-FF9F4D1E951E}"/>
                </c:ext>
              </c:extLst>
            </c:dLbl>
            <c:dLbl>
              <c:idx val="1"/>
              <c:layout>
                <c:manualLayout>
                  <c:x val="0.10169640437070614"/>
                  <c:y val="-3.01144348056913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1A-402B-A326-FF9F4D1E951E}"/>
                </c:ext>
              </c:extLst>
            </c:dLbl>
            <c:dLbl>
              <c:idx val="2"/>
              <c:layout>
                <c:manualLayout>
                  <c:x val="6.3520192164835065E-2"/>
                  <c:y val="-3.307164720223258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1A-402B-A326-FF9F4D1E951E}"/>
                </c:ext>
              </c:extLst>
            </c:dLbl>
            <c:dLbl>
              <c:idx val="3"/>
              <c:layout>
                <c:manualLayout>
                  <c:x val="3.4300499885063424E-2"/>
                  <c:y val="-3.34113773507801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1A-402B-A326-FF9F4D1E951E}"/>
                </c:ext>
              </c:extLst>
            </c:dLbl>
            <c:dLbl>
              <c:idx val="4"/>
              <c:layout>
                <c:manualLayout>
                  <c:x val="0.32141477924136158"/>
                  <c:y val="-3.01144348056913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1A-402B-A326-FF9F4D1E951E}"/>
                </c:ext>
              </c:extLst>
            </c:dLbl>
            <c:dLbl>
              <c:idx val="5"/>
              <c:layout>
                <c:manualLayout>
                  <c:x val="0.37304098254998425"/>
                  <c:y val="-3.01144348056913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1A-402B-A326-FF9F4D1E951E}"/>
                </c:ext>
              </c:extLst>
            </c:dLbl>
            <c:dLbl>
              <c:idx val="6"/>
              <c:layout>
                <c:manualLayout>
                  <c:x val="4.3009050803224202E-2"/>
                  <c:y val="-3.46778559511570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1A-402B-A326-FF9F4D1E951E}"/>
                </c:ext>
              </c:extLst>
            </c:dLbl>
            <c:dLbl>
              <c:idx val="7"/>
              <c:layout>
                <c:manualLayout>
                  <c:x val="-0.11721223563795899"/>
                  <c:y val="-1.73944630272772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1A-402B-A326-FF9F4D1E951E}"/>
                </c:ext>
              </c:extLst>
            </c:dLbl>
            <c:dLbl>
              <c:idx val="8"/>
              <c:layout>
                <c:manualLayout>
                  <c:x val="0.26312685116207774"/>
                  <c:y val="-3.01144348056913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B1A-402B-A326-FF9F4D1E951E}"/>
                </c:ext>
              </c:extLst>
            </c:dLbl>
            <c:dLbl>
              <c:idx val="9"/>
              <c:layout>
                <c:manualLayout>
                  <c:x val="-5.3631329749868652E-2"/>
                  <c:y val="4.80933547711827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B1A-402B-A326-FF9F4D1E951E}"/>
                </c:ext>
              </c:extLst>
            </c:dLbl>
            <c:dLbl>
              <c:idx val="10"/>
              <c:layout>
                <c:manualLayout>
                  <c:x val="1.5537467907289751E-2"/>
                  <c:y val="-4.78390810753542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B1A-402B-A326-FF9F4D1E951E}"/>
                </c:ext>
              </c:extLst>
            </c:dLbl>
            <c:dLbl>
              <c:idx val="11"/>
              <c:layout>
                <c:manualLayout>
                  <c:x val="-7.4653095816352391E-2"/>
                  <c:y val="4.594157526280160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B1A-402B-A326-FF9F4D1E951E}"/>
                </c:ext>
              </c:extLst>
            </c:dLbl>
            <c:dLbl>
              <c:idx val="12"/>
              <c:layout>
                <c:manualLayout>
                  <c:x val="8.197611498523516E-2"/>
                  <c:y val="2.86458412163224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B1A-402B-A326-FF9F4D1E951E}"/>
                </c:ext>
              </c:extLst>
            </c:dLbl>
            <c:dLbl>
              <c:idx val="13"/>
              <c:layout>
                <c:manualLayout>
                  <c:x val="1.5187478863297479E-2"/>
                  <c:y val="8.011484229558852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B1A-402B-A326-FF9F4D1E951E}"/>
                </c:ext>
              </c:extLst>
            </c:dLbl>
            <c:dLbl>
              <c:idx val="14"/>
              <c:layout>
                <c:manualLayout>
                  <c:x val="-7.5347304133660406E-2"/>
                  <c:y val="-6.69035541268830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B1A-402B-A326-FF9F4D1E951E}"/>
                </c:ext>
              </c:extLst>
            </c:dLbl>
            <c:dLbl>
              <c:idx val="15"/>
              <c:layout>
                <c:manualLayout>
                  <c:x val="-2.4245756563146943E-2"/>
                  <c:y val="-3.42203030094875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B1A-402B-A326-FF9F4D1E951E}"/>
                </c:ext>
              </c:extLst>
            </c:dLbl>
            <c:dLbl>
              <c:idx val="16"/>
              <c:layout>
                <c:manualLayout>
                  <c:x val="-4.9184279000932765E-2"/>
                  <c:y val="-6.82007691080745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B1A-402B-A326-FF9F4D1E951E}"/>
                </c:ext>
              </c:extLst>
            </c:dLbl>
            <c:dLbl>
              <c:idx val="17"/>
              <c:layout>
                <c:manualLayout>
                  <c:x val="-4.9775024839518421E-2"/>
                  <c:y val="-3.63103769048697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B1A-402B-A326-FF9F4D1E951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Tore!$D$6:$D$23</c:f>
              <c:strCache>
                <c:ptCount val="18"/>
                <c:pt idx="0">
                  <c:v>Alex</c:v>
                </c:pt>
                <c:pt idx="1">
                  <c:v>Gerhard C.</c:v>
                </c:pt>
                <c:pt idx="2">
                  <c:v>Franz</c:v>
                </c:pt>
                <c:pt idx="3">
                  <c:v>Harry Sch.</c:v>
                </c:pt>
                <c:pt idx="4">
                  <c:v>Andi K.</c:v>
                </c:pt>
                <c:pt idx="5">
                  <c:v>Mario</c:v>
                </c:pt>
                <c:pt idx="6">
                  <c:v>Niki</c:v>
                </c:pt>
                <c:pt idx="7">
                  <c:v>Martin</c:v>
                </c:pt>
                <c:pt idx="8">
                  <c:v>Berni</c:v>
                </c:pt>
                <c:pt idx="9">
                  <c:v>Lukas</c:v>
                </c:pt>
                <c:pt idx="10">
                  <c:v>Thomas</c:v>
                </c:pt>
                <c:pt idx="11">
                  <c:v>Gerald</c:v>
                </c:pt>
                <c:pt idx="12">
                  <c:v>Harry S.</c:v>
                </c:pt>
                <c:pt idx="13">
                  <c:v>Christoph</c:v>
                </c:pt>
                <c:pt idx="14">
                  <c:v>Harry H.</c:v>
                </c:pt>
                <c:pt idx="15">
                  <c:v>Walter</c:v>
                </c:pt>
                <c:pt idx="16">
                  <c:v>Viktor</c:v>
                </c:pt>
                <c:pt idx="17">
                  <c:v>Tommy</c:v>
                </c:pt>
              </c:strCache>
            </c:strRef>
          </c:cat>
          <c:val>
            <c:numRef>
              <c:f>Tore!$AT$6:$AT$23</c:f>
              <c:numCache>
                <c:formatCode>General</c:formatCode>
                <c:ptCount val="18"/>
                <c:pt idx="0">
                  <c:v>33</c:v>
                </c:pt>
                <c:pt idx="1">
                  <c:v>30</c:v>
                </c:pt>
                <c:pt idx="2">
                  <c:v>22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13</c:v>
                </c:pt>
                <c:pt idx="10">
                  <c:v>12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B1A-402B-A326-FF9F4D1E951E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Siege im Vergleich zur Anzahl der Spiele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Siege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(2)'!$F$3:$F$20</c:f>
              <c:numCache>
                <c:formatCode>General</c:formatCode>
                <c:ptCount val="18"/>
                <c:pt idx="0">
                  <c:v>0</c:v>
                </c:pt>
                <c:pt idx="1">
                  <c:v>13</c:v>
                </c:pt>
                <c:pt idx="2">
                  <c:v>13</c:v>
                </c:pt>
                <c:pt idx="3">
                  <c:v>11</c:v>
                </c:pt>
                <c:pt idx="4">
                  <c:v>16</c:v>
                </c:pt>
                <c:pt idx="5">
                  <c:v>13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20</c:v>
                </c:pt>
                <c:pt idx="11">
                  <c:v>13</c:v>
                </c:pt>
                <c:pt idx="12">
                  <c:v>8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18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C-41FA-8ACE-C0D4AF0525BC}"/>
            </c:ext>
          </c:extLst>
        </c:ser>
        <c:ser>
          <c:idx val="1"/>
          <c:order val="1"/>
          <c:tx>
            <c:v>Spiele</c:v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(2)'!$O$3:$O$20</c:f>
              <c:numCache>
                <c:formatCode>General</c:formatCode>
                <c:ptCount val="18"/>
                <c:pt idx="0">
                  <c:v>0</c:v>
                </c:pt>
                <c:pt idx="1">
                  <c:v>30</c:v>
                </c:pt>
                <c:pt idx="2">
                  <c:v>31</c:v>
                </c:pt>
                <c:pt idx="3">
                  <c:v>21</c:v>
                </c:pt>
                <c:pt idx="4">
                  <c:v>36</c:v>
                </c:pt>
                <c:pt idx="5">
                  <c:v>31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21</c:v>
                </c:pt>
                <c:pt idx="10">
                  <c:v>37</c:v>
                </c:pt>
                <c:pt idx="11">
                  <c:v>29</c:v>
                </c:pt>
                <c:pt idx="12">
                  <c:v>16</c:v>
                </c:pt>
                <c:pt idx="13">
                  <c:v>0</c:v>
                </c:pt>
                <c:pt idx="14">
                  <c:v>22</c:v>
                </c:pt>
                <c:pt idx="15">
                  <c:v>0</c:v>
                </c:pt>
                <c:pt idx="16">
                  <c:v>34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C-41FA-8ACE-C0D4AF0525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98935672"/>
        <c:axId val="598940264"/>
        <c:axId val="506538144"/>
      </c:bar3DChart>
      <c:catAx>
        <c:axId val="59893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8940264"/>
        <c:crosses val="autoZero"/>
        <c:auto val="1"/>
        <c:lblAlgn val="ctr"/>
        <c:lblOffset val="100"/>
        <c:noMultiLvlLbl val="0"/>
      </c:catAx>
      <c:valAx>
        <c:axId val="598940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8935672"/>
        <c:crosses val="autoZero"/>
        <c:crossBetween val="between"/>
      </c:valAx>
      <c:serAx>
        <c:axId val="506538144"/>
        <c:scaling>
          <c:orientation val="minMax"/>
        </c:scaling>
        <c:delete val="1"/>
        <c:axPos val="b"/>
        <c:majorTickMark val="none"/>
        <c:minorTickMark val="none"/>
        <c:tickLblPos val="nextTo"/>
        <c:crossAx val="598940264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unentschieden</a:t>
            </a:r>
            <a:r>
              <a:rPr lang="en-US" baseline="0"/>
              <a:t> im Vergliech zur Anzahl der Spiele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Unentschieden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(2)'!$G$3:$G$20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A-4CA9-B5DF-AFF7C0F0C198}"/>
            </c:ext>
          </c:extLst>
        </c:ser>
        <c:ser>
          <c:idx val="1"/>
          <c:order val="1"/>
          <c:tx>
            <c:v>Spiele</c:v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(2)'!$O$3:$O$20</c:f>
              <c:numCache>
                <c:formatCode>General</c:formatCode>
                <c:ptCount val="18"/>
                <c:pt idx="0">
                  <c:v>0</c:v>
                </c:pt>
                <c:pt idx="1">
                  <c:v>30</c:v>
                </c:pt>
                <c:pt idx="2">
                  <c:v>31</c:v>
                </c:pt>
                <c:pt idx="3">
                  <c:v>21</c:v>
                </c:pt>
                <c:pt idx="4">
                  <c:v>36</c:v>
                </c:pt>
                <c:pt idx="5">
                  <c:v>31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21</c:v>
                </c:pt>
                <c:pt idx="10">
                  <c:v>37</c:v>
                </c:pt>
                <c:pt idx="11">
                  <c:v>29</c:v>
                </c:pt>
                <c:pt idx="12">
                  <c:v>16</c:v>
                </c:pt>
                <c:pt idx="13">
                  <c:v>0</c:v>
                </c:pt>
                <c:pt idx="14">
                  <c:v>22</c:v>
                </c:pt>
                <c:pt idx="15">
                  <c:v>0</c:v>
                </c:pt>
                <c:pt idx="16">
                  <c:v>34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A-4CA9-B5DF-AFF7C0F0C1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98935672"/>
        <c:axId val="598940264"/>
        <c:axId val="506538144"/>
      </c:bar3DChart>
      <c:catAx>
        <c:axId val="59893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8940264"/>
        <c:crosses val="autoZero"/>
        <c:auto val="1"/>
        <c:lblAlgn val="ctr"/>
        <c:lblOffset val="100"/>
        <c:noMultiLvlLbl val="0"/>
      </c:catAx>
      <c:valAx>
        <c:axId val="598940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8935672"/>
        <c:crosses val="autoZero"/>
        <c:crossBetween val="between"/>
      </c:valAx>
      <c:serAx>
        <c:axId val="506538144"/>
        <c:scaling>
          <c:orientation val="minMax"/>
        </c:scaling>
        <c:delete val="1"/>
        <c:axPos val="b"/>
        <c:majorTickMark val="none"/>
        <c:minorTickMark val="none"/>
        <c:tickLblPos val="nextTo"/>
        <c:crossAx val="598940264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Niederlagen im Vergleich zur Anzahl</a:t>
            </a:r>
            <a:r>
              <a:rPr lang="de-AT" baseline="0"/>
              <a:t> der spiele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Niederlagen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(2)'!$H$3:$H$20</c:f>
              <c:numCache>
                <c:formatCode>General</c:formatCode>
                <c:ptCount val="18"/>
                <c:pt idx="0">
                  <c:v>0</c:v>
                </c:pt>
                <c:pt idx="1">
                  <c:v>15</c:v>
                </c:pt>
                <c:pt idx="2">
                  <c:v>16</c:v>
                </c:pt>
                <c:pt idx="3">
                  <c:v>9</c:v>
                </c:pt>
                <c:pt idx="4">
                  <c:v>17</c:v>
                </c:pt>
                <c:pt idx="5">
                  <c:v>15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15</c:v>
                </c:pt>
                <c:pt idx="11">
                  <c:v>13</c:v>
                </c:pt>
                <c:pt idx="12">
                  <c:v>5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13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611-B1D5-53B6D9032E64}"/>
            </c:ext>
          </c:extLst>
        </c:ser>
        <c:ser>
          <c:idx val="1"/>
          <c:order val="1"/>
          <c:tx>
            <c:v>Spiele</c:v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(2)'!$O$3:$O$20</c:f>
              <c:numCache>
                <c:formatCode>General</c:formatCode>
                <c:ptCount val="18"/>
                <c:pt idx="0">
                  <c:v>0</c:v>
                </c:pt>
                <c:pt idx="1">
                  <c:v>30</c:v>
                </c:pt>
                <c:pt idx="2">
                  <c:v>31</c:v>
                </c:pt>
                <c:pt idx="3">
                  <c:v>21</c:v>
                </c:pt>
                <c:pt idx="4">
                  <c:v>36</c:v>
                </c:pt>
                <c:pt idx="5">
                  <c:v>31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21</c:v>
                </c:pt>
                <c:pt idx="10">
                  <c:v>37</c:v>
                </c:pt>
                <c:pt idx="11">
                  <c:v>29</c:v>
                </c:pt>
                <c:pt idx="12">
                  <c:v>16</c:v>
                </c:pt>
                <c:pt idx="13">
                  <c:v>0</c:v>
                </c:pt>
                <c:pt idx="14">
                  <c:v>22</c:v>
                </c:pt>
                <c:pt idx="15">
                  <c:v>0</c:v>
                </c:pt>
                <c:pt idx="16">
                  <c:v>34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A-4611-B1D5-53B6D9032E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98935672"/>
        <c:axId val="598940264"/>
        <c:axId val="506538144"/>
      </c:bar3DChart>
      <c:catAx>
        <c:axId val="59893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8940264"/>
        <c:crosses val="autoZero"/>
        <c:auto val="1"/>
        <c:lblAlgn val="ctr"/>
        <c:lblOffset val="100"/>
        <c:noMultiLvlLbl val="0"/>
      </c:catAx>
      <c:valAx>
        <c:axId val="598940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8935672"/>
        <c:crosses val="autoZero"/>
        <c:crossBetween val="between"/>
      </c:valAx>
      <c:serAx>
        <c:axId val="506538144"/>
        <c:scaling>
          <c:orientation val="minMax"/>
        </c:scaling>
        <c:delete val="1"/>
        <c:axPos val="b"/>
        <c:majorTickMark val="none"/>
        <c:minorTickMark val="none"/>
        <c:tickLblPos val="nextTo"/>
        <c:crossAx val="598940264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Teamtore zu Gegentore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Teamtore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8.3565463275742467E-3"/>
                  <c:y val="-5.410659726701661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80-4C40-AEA8-84C26C5A7438}"/>
                </c:ext>
              </c:extLst>
            </c:dLbl>
            <c:dLbl>
              <c:idx val="2"/>
              <c:layout>
                <c:manualLayout>
                  <c:x val="-3.3426185310296988E-3"/>
                  <c:y val="-5.410659726701661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6E-4B3E-85F4-0F9751981972}"/>
                </c:ext>
              </c:extLst>
            </c:dLbl>
            <c:dLbl>
              <c:idx val="3"/>
              <c:layout>
                <c:manualLayout>
                  <c:x val="-3.34261853102969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6E-4B3E-85F4-0F9751981972}"/>
                </c:ext>
              </c:extLst>
            </c:dLbl>
            <c:dLbl>
              <c:idx val="6"/>
              <c:layout>
                <c:manualLayout>
                  <c:x val="-3.34261853102969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80-4C40-AEA8-84C26C5A7438}"/>
                </c:ext>
              </c:extLst>
            </c:dLbl>
            <c:dLbl>
              <c:idx val="11"/>
              <c:layout>
                <c:manualLayout>
                  <c:x val="-5.0139277965446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80-4C40-AEA8-84C26C5A7438}"/>
                </c:ext>
              </c:extLst>
            </c:dLbl>
            <c:dLbl>
              <c:idx val="13"/>
              <c:layout>
                <c:manualLayout>
                  <c:x val="-8.35654632757424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6E-4B3E-85F4-0F9751981972}"/>
                </c:ext>
              </c:extLst>
            </c:dLbl>
            <c:dLbl>
              <c:idx val="14"/>
              <c:layout>
                <c:manualLayout>
                  <c:x val="-3.34261853102969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80-4C40-AEA8-84C26C5A7438}"/>
                </c:ext>
              </c:extLst>
            </c:dLbl>
            <c:dLbl>
              <c:idx val="15"/>
              <c:layout>
                <c:manualLayout>
                  <c:x val="-3.3426185310298216E-3"/>
                  <c:y val="-5.410659726701661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6E-4B3E-85F4-0F9751981972}"/>
                </c:ext>
              </c:extLst>
            </c:dLbl>
            <c:dLbl>
              <c:idx val="16"/>
              <c:layout>
                <c:manualLayout>
                  <c:x val="-3.34261853102969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80-4C40-AEA8-84C26C5A74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(2)'!$K$3:$K$20</c:f>
              <c:numCache>
                <c:formatCode>General</c:formatCode>
                <c:ptCount val="18"/>
                <c:pt idx="0">
                  <c:v>0</c:v>
                </c:pt>
                <c:pt idx="1">
                  <c:v>76</c:v>
                </c:pt>
                <c:pt idx="2">
                  <c:v>83</c:v>
                </c:pt>
                <c:pt idx="3">
                  <c:v>60</c:v>
                </c:pt>
                <c:pt idx="4">
                  <c:v>98</c:v>
                </c:pt>
                <c:pt idx="5">
                  <c:v>76</c:v>
                </c:pt>
                <c:pt idx="6">
                  <c:v>102</c:v>
                </c:pt>
                <c:pt idx="7">
                  <c:v>0</c:v>
                </c:pt>
                <c:pt idx="8">
                  <c:v>0</c:v>
                </c:pt>
                <c:pt idx="9">
                  <c:v>49</c:v>
                </c:pt>
                <c:pt idx="10">
                  <c:v>117</c:v>
                </c:pt>
                <c:pt idx="11">
                  <c:v>72</c:v>
                </c:pt>
                <c:pt idx="12">
                  <c:v>44</c:v>
                </c:pt>
                <c:pt idx="13">
                  <c:v>0</c:v>
                </c:pt>
                <c:pt idx="14">
                  <c:v>56</c:v>
                </c:pt>
                <c:pt idx="15">
                  <c:v>0</c:v>
                </c:pt>
                <c:pt idx="16">
                  <c:v>104</c:v>
                </c:pt>
                <c:pt idx="1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80-4C40-AEA8-84C26C5A7438}"/>
            </c:ext>
          </c:extLst>
        </c:ser>
        <c:ser>
          <c:idx val="1"/>
          <c:order val="1"/>
          <c:tx>
            <c:strRef>
              <c:f>'Rangliste (2)'!$L$2</c:f>
              <c:strCache>
                <c:ptCount val="1"/>
                <c:pt idx="0">
                  <c:v>Gegentore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5.01392779654454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6E-4B3E-85F4-0F9751981972}"/>
                </c:ext>
              </c:extLst>
            </c:dLbl>
            <c:dLbl>
              <c:idx val="4"/>
              <c:layout>
                <c:manualLayout>
                  <c:x val="6.68523706205939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6E-4B3E-85F4-0F9751981972}"/>
                </c:ext>
              </c:extLst>
            </c:dLbl>
            <c:dLbl>
              <c:idx val="5"/>
              <c:layout>
                <c:manualLayout>
                  <c:x val="8.35654632757424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B80-4C40-AEA8-84C26C5A7438}"/>
                </c:ext>
              </c:extLst>
            </c:dLbl>
            <c:dLbl>
              <c:idx val="7"/>
              <c:layout>
                <c:manualLayout>
                  <c:x val="5.0139277965444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6E-4B3E-85F4-0F9751981972}"/>
                </c:ext>
              </c:extLst>
            </c:dLbl>
            <c:dLbl>
              <c:idx val="9"/>
              <c:layout>
                <c:manualLayout>
                  <c:x val="6.6852370620594593E-3"/>
                  <c:y val="-2.9513030351479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B80-4C40-AEA8-84C26C5A7438}"/>
                </c:ext>
              </c:extLst>
            </c:dLbl>
            <c:dLbl>
              <c:idx val="10"/>
              <c:layout>
                <c:manualLayout>
                  <c:x val="6.685237062059275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B80-4C40-AEA8-84C26C5A7438}"/>
                </c:ext>
              </c:extLst>
            </c:dLbl>
            <c:dLbl>
              <c:idx val="12"/>
              <c:layout>
                <c:manualLayout>
                  <c:x val="6.68523706205939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B80-4C40-AEA8-84C26C5A7438}"/>
                </c:ext>
              </c:extLst>
            </c:dLbl>
            <c:dLbl>
              <c:idx val="17"/>
              <c:layout>
                <c:manualLayout>
                  <c:x val="3.34261853102969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6E-4B3E-85F4-0F9751981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'Rangliste (2)'!$D$3:$D$20</c:f>
              <c:strCache>
                <c:ptCount val="18"/>
                <c:pt idx="0">
                  <c:v>Andi</c:v>
                </c:pt>
                <c:pt idx="1">
                  <c:v>Andi K.</c:v>
                </c:pt>
                <c:pt idx="2">
                  <c:v>Alex</c:v>
                </c:pt>
                <c:pt idx="3">
                  <c:v>Berni</c:v>
                </c:pt>
                <c:pt idx="4">
                  <c:v>Franz</c:v>
                </c:pt>
                <c:pt idx="5">
                  <c:v>Gerald</c:v>
                </c:pt>
                <c:pt idx="6">
                  <c:v>Gerhard C.</c:v>
                </c:pt>
                <c:pt idx="7">
                  <c:v>Gerhard L.</c:v>
                </c:pt>
                <c:pt idx="8">
                  <c:v>Harry H.</c:v>
                </c:pt>
                <c:pt idx="9">
                  <c:v>Harry S.</c:v>
                </c:pt>
                <c:pt idx="10">
                  <c:v>Harry Sch.</c:v>
                </c:pt>
                <c:pt idx="11">
                  <c:v>Lukas</c:v>
                </c:pt>
                <c:pt idx="12">
                  <c:v>Martin</c:v>
                </c:pt>
                <c:pt idx="13">
                  <c:v>Roman</c:v>
                </c:pt>
                <c:pt idx="14">
                  <c:v>Thomas</c:v>
                </c:pt>
                <c:pt idx="15">
                  <c:v>Tommy</c:v>
                </c:pt>
                <c:pt idx="16">
                  <c:v>Viktor</c:v>
                </c:pt>
                <c:pt idx="17">
                  <c:v>Walter</c:v>
                </c:pt>
              </c:strCache>
            </c:strRef>
          </c:cat>
          <c:val>
            <c:numRef>
              <c:f>'Rangliste (2)'!$L$3:$L$20</c:f>
              <c:numCache>
                <c:formatCode>General</c:formatCode>
                <c:ptCount val="18"/>
                <c:pt idx="0">
                  <c:v>0</c:v>
                </c:pt>
                <c:pt idx="1">
                  <c:v>82</c:v>
                </c:pt>
                <c:pt idx="2">
                  <c:v>88</c:v>
                </c:pt>
                <c:pt idx="3">
                  <c:v>66</c:v>
                </c:pt>
                <c:pt idx="4">
                  <c:v>103</c:v>
                </c:pt>
                <c:pt idx="5">
                  <c:v>94</c:v>
                </c:pt>
                <c:pt idx="6">
                  <c:v>96</c:v>
                </c:pt>
                <c:pt idx="7">
                  <c:v>0</c:v>
                </c:pt>
                <c:pt idx="8">
                  <c:v>0</c:v>
                </c:pt>
                <c:pt idx="9">
                  <c:v>59</c:v>
                </c:pt>
                <c:pt idx="10">
                  <c:v>100</c:v>
                </c:pt>
                <c:pt idx="11">
                  <c:v>72</c:v>
                </c:pt>
                <c:pt idx="12">
                  <c:v>36</c:v>
                </c:pt>
                <c:pt idx="13">
                  <c:v>0</c:v>
                </c:pt>
                <c:pt idx="14">
                  <c:v>61</c:v>
                </c:pt>
                <c:pt idx="15">
                  <c:v>0</c:v>
                </c:pt>
                <c:pt idx="16">
                  <c:v>95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80-4C40-AEA8-84C26C5A74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60932312"/>
        <c:axId val="760929688"/>
        <c:axId val="0"/>
      </c:bar3DChart>
      <c:catAx>
        <c:axId val="76093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929688"/>
        <c:crosses val="autoZero"/>
        <c:auto val="1"/>
        <c:lblAlgn val="ctr"/>
        <c:lblOffset val="100"/>
        <c:noMultiLvlLbl val="0"/>
      </c:catAx>
      <c:valAx>
        <c:axId val="76092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093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(2)'!$D$3</c:f>
              <c:strCache>
                <c:ptCount val="1"/>
                <c:pt idx="0">
                  <c:v>Andi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AF9-44CE-A373-61C0AB8374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AF9-44CE-A373-61C0AB8374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AF9-44CE-A373-61C0AB83747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(2)'!$F$3:$H$3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F9-44CE-A373-61C0AB83747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(2)'!$D$4</c:f>
              <c:strCache>
                <c:ptCount val="1"/>
                <c:pt idx="0">
                  <c:v>Andi K.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C72-4A71-B1BE-77461E89D0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C72-4A71-B1BE-77461E89D0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C72-4A71-B1BE-77461E89D08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(2)'!$F$4:$H$4</c:f>
              <c:numCache>
                <c:formatCode>General</c:formatCode>
                <c:ptCount val="3"/>
                <c:pt idx="0">
                  <c:v>13</c:v>
                </c:pt>
                <c:pt idx="1">
                  <c:v>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2-4A71-B1BE-77461E89D08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(2)'!$D$5</c:f>
              <c:strCache>
                <c:ptCount val="1"/>
                <c:pt idx="0">
                  <c:v>Alex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7FB-4AA9-B07C-EE4636009D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7FB-4AA9-B07C-EE4636009D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7FB-4AA9-B07C-EE4636009DD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(2)'!$F$5:$H$5</c:f>
              <c:numCache>
                <c:formatCode>General</c:formatCode>
                <c:ptCount val="3"/>
                <c:pt idx="0">
                  <c:v>13</c:v>
                </c:pt>
                <c:pt idx="1">
                  <c:v>2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FB-4AA9-B07C-EE4636009D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(2)'!$D$6</c:f>
              <c:strCache>
                <c:ptCount val="1"/>
                <c:pt idx="0">
                  <c:v>Berni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C9C-48A4-8F27-2CAA1E6C85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C9C-48A4-8F27-2CAA1E6C85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C9C-48A4-8F27-2CAA1E6C85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(2)'!$F$6:$H$6</c:f>
              <c:numCache>
                <c:formatCode>General</c:formatCode>
                <c:ptCount val="3"/>
                <c:pt idx="0">
                  <c:v>11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9C-48A4-8F27-2CAA1E6C85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(2)'!$D$7</c:f>
              <c:strCache>
                <c:ptCount val="1"/>
                <c:pt idx="0">
                  <c:v>Franz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D4-47F6-B642-C4717FAED5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D4-47F6-B642-C4717FAED5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D4-47F6-B642-C4717FAED54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(2)'!$F$7:$H$7</c:f>
              <c:numCache>
                <c:formatCode>General</c:formatCode>
                <c:ptCount val="3"/>
                <c:pt idx="0">
                  <c:v>16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D4-47F6-B642-C4717FAED5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(2)'!$D$8</c:f>
              <c:strCache>
                <c:ptCount val="1"/>
                <c:pt idx="0">
                  <c:v>Gerald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240-4A46-9C26-4131C7B08F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240-4A46-9C26-4131C7B08F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240-4A46-9C26-4131C7B08F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(2)'!$F$8:$H$8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40-4A46-9C26-4131C7B08F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(2)'!$D$9</c:f>
              <c:strCache>
                <c:ptCount val="1"/>
                <c:pt idx="0">
                  <c:v>Gerhard C.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401-4F9D-8BD8-2AA61DC3B2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401-4F9D-8BD8-2AA61DC3B2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401-4F9D-8BD8-2AA61DC3B2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(2)'!$F$9:$H$9</c:f>
              <c:numCache>
                <c:formatCode>General</c:formatCode>
                <c:ptCount val="3"/>
                <c:pt idx="0">
                  <c:v>16</c:v>
                </c:pt>
                <c:pt idx="1">
                  <c:v>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01-4F9D-8BD8-2AA61DC3B2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9432888597258677"/>
          <c:w val="0.86195406824146981"/>
          <c:h val="0.75474518810148727"/>
        </c:manualLayout>
      </c:layout>
      <c:pie3DChart>
        <c:varyColors val="1"/>
        <c:ser>
          <c:idx val="0"/>
          <c:order val="0"/>
          <c:tx>
            <c:strRef>
              <c:f>'Rangliste (2)'!$D$10</c:f>
              <c:strCache>
                <c:ptCount val="1"/>
                <c:pt idx="0">
                  <c:v>Gerhard L.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E3B-48E8-8CB8-CE978C7FC0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E3B-48E8-8CB8-CE978C7FC0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E3B-48E8-8CB8-CE978C7FC0E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(2)'!$F$10:$H$10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3B-48E8-8CB8-CE978C7FC0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(2)'!$D$11</c:f>
              <c:strCache>
                <c:ptCount val="1"/>
                <c:pt idx="0">
                  <c:v>Harry H.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FC6-4193-A978-4D1C691F28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FC6-4193-A978-4D1C691F28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FC6-4193-A978-4D1C691F286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(2)'!$F$11:$H$11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6-4193-A978-4D1C691F286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(2)'!$D$12</c:f>
              <c:strCache>
                <c:ptCount val="1"/>
                <c:pt idx="0">
                  <c:v>Harry S.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A0C-4ED0-AC8C-A90289D28D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A0C-4ED0-AC8C-A90289D28D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A0C-4ED0-AC8C-A90289D28D0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(2)'!$F$12:$H$12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ED0-AC8C-A90289D28D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(2)'!$D$13</c:f>
              <c:strCache>
                <c:ptCount val="1"/>
                <c:pt idx="0">
                  <c:v>Harry Sch.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14D-4DA6-9E15-6741C7BDC0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14D-4DA6-9E15-6741C7BDC0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14D-4DA6-9E15-6741C7BDC04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(2)'!$F$13:$H$13</c:f>
              <c:numCache>
                <c:formatCode>General</c:formatCode>
                <c:ptCount val="3"/>
                <c:pt idx="0">
                  <c:v>20</c:v>
                </c:pt>
                <c:pt idx="1">
                  <c:v>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D-4DA6-9E15-6741C7BDC0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(2)'!$D$14</c:f>
              <c:strCache>
                <c:ptCount val="1"/>
                <c:pt idx="0">
                  <c:v>Lukas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D28-4EB4-8411-7466215B4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D28-4EB4-8411-7466215B42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D28-4EB4-8411-7466215B42C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(2)'!$F$14:$H$14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28-4EB4-8411-7466215B42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(2)'!$D$15</c:f>
              <c:strCache>
                <c:ptCount val="1"/>
                <c:pt idx="0">
                  <c:v>Martin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D30-46E6-8EFA-976EC148D6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D30-46E6-8EFA-976EC148D6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D30-46E6-8EFA-976EC148D6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(2)'!$F$15:$H$15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30-46E6-8EFA-976EC148D6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(2)'!$D$16</c:f>
              <c:strCache>
                <c:ptCount val="1"/>
                <c:pt idx="0">
                  <c:v>Roman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B73-4C00-9BBB-ABBEB739BD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B73-4C00-9BBB-ABBEB739BD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B73-4C00-9BBB-ABBEB739BD0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(2)'!$F$16:$H$16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73-4C00-9BBB-ABBEB739BD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(2)'!$D$17</c:f>
              <c:strCache>
                <c:ptCount val="1"/>
                <c:pt idx="0">
                  <c:v>Thomas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7C0-412D-9025-79F3AD2D7F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7C0-412D-9025-79F3AD2D7F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7C0-412D-9025-79F3AD2D7FB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(2)'!$F$17:$H$17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C0-412D-9025-79F3AD2D7F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(2)'!$D$18</c:f>
              <c:strCache>
                <c:ptCount val="1"/>
                <c:pt idx="0">
                  <c:v>Tommy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D7F-4161-939A-67FA722D81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D7F-4161-939A-67FA722D81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D7F-4161-939A-67FA722D81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(2)'!$F$18:$H$18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7F-4161-939A-67FA722D81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(2)'!$D$19</c:f>
              <c:strCache>
                <c:ptCount val="1"/>
                <c:pt idx="0">
                  <c:v>Viktor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5DB-4121-83B8-1400F65C59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5DB-4121-83B8-1400F65C59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5DB-4121-83B8-1400F65C597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(2)'!$F$19:$H$19</c:f>
              <c:numCache>
                <c:formatCode>General</c:formatCode>
                <c:ptCount val="3"/>
                <c:pt idx="0">
                  <c:v>18</c:v>
                </c:pt>
                <c:pt idx="1">
                  <c:v>3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DB-4121-83B8-1400F65C59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'Rangliste (2)'!$D$20</c:f>
              <c:strCache>
                <c:ptCount val="1"/>
                <c:pt idx="0">
                  <c:v>Walter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F1F-4CB2-B3AA-4108206EA4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F1F-4CB2-B3AA-4108206EA4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F1F-4CB2-B3AA-4108206EA4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'Rangliste (2)'!$F$2:$H$2</c:f>
              <c:strCache>
                <c:ptCount val="3"/>
                <c:pt idx="0">
                  <c:v>S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'Rangliste (2)'!$F$20:$H$20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1F-4CB2-B3AA-4108206EA4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601267</xdr:colOff>
      <xdr:row>26</xdr:row>
      <xdr:rowOff>55961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821C7BC-D12C-4810-B3F6-F26B921BC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11</xdr:col>
      <xdr:colOff>628650</xdr:colOff>
      <xdr:row>53</xdr:row>
      <xdr:rowOff>105834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72B4759-8030-48B4-B311-344EBDB2B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11</xdr:col>
      <xdr:colOff>635001</xdr:colOff>
      <xdr:row>79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E28C4AE-9B85-4A17-A6BF-7F5FFCDB6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12</xdr:col>
      <xdr:colOff>0</xdr:colOff>
      <xdr:row>111</xdr:row>
      <xdr:rowOff>42334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0D66B8B-1F4A-4EA3-B3EC-16CDEC7DB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112</xdr:row>
      <xdr:rowOff>0</xdr:rowOff>
    </xdr:from>
    <xdr:to>
      <xdr:col>11</xdr:col>
      <xdr:colOff>714375</xdr:colOff>
      <xdr:row>135</xdr:row>
      <xdr:rowOff>38100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E5E7420-FCF2-4558-97BB-B2D00BBD7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D575E37-1CD4-4694-ABE0-C85B5947C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127001</xdr:rowOff>
    </xdr:from>
    <xdr:to>
      <xdr:col>7</xdr:col>
      <xdr:colOff>0</xdr:colOff>
      <xdr:row>30</xdr:row>
      <xdr:rowOff>12701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F394F59-670B-42EB-A089-7D3C5A54E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74084</xdr:rowOff>
    </xdr:from>
    <xdr:to>
      <xdr:col>7</xdr:col>
      <xdr:colOff>0</xdr:colOff>
      <xdr:row>44</xdr:row>
      <xdr:rowOff>150284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C24A62C-B9E7-43D3-A521-D3051AAE0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63499</xdr:colOff>
      <xdr:row>1</xdr:row>
      <xdr:rowOff>10584</xdr:rowOff>
    </xdr:from>
    <xdr:to>
      <xdr:col>13</xdr:col>
      <xdr:colOff>63499</xdr:colOff>
      <xdr:row>15</xdr:row>
      <xdr:rowOff>86784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DE79FA7-8671-4ADA-832D-AB7E3C2E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63500</xdr:colOff>
      <xdr:row>15</xdr:row>
      <xdr:rowOff>137584</xdr:rowOff>
    </xdr:from>
    <xdr:to>
      <xdr:col>13</xdr:col>
      <xdr:colOff>63500</xdr:colOff>
      <xdr:row>30</xdr:row>
      <xdr:rowOff>23284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8913F43-2980-4D8D-A88A-5346AF2A6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74084</xdr:colOff>
      <xdr:row>30</xdr:row>
      <xdr:rowOff>84669</xdr:rowOff>
    </xdr:from>
    <xdr:to>
      <xdr:col>13</xdr:col>
      <xdr:colOff>74084</xdr:colOff>
      <xdr:row>44</xdr:row>
      <xdr:rowOff>160869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30A74929-7824-4709-8A8D-EB3E11F1B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116417</xdr:colOff>
      <xdr:row>1</xdr:row>
      <xdr:rowOff>1</xdr:rowOff>
    </xdr:from>
    <xdr:to>
      <xdr:col>19</xdr:col>
      <xdr:colOff>116417</xdr:colOff>
      <xdr:row>15</xdr:row>
      <xdr:rowOff>76201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B624F681-9B2F-4138-BE1E-554C09B72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137584</xdr:colOff>
      <xdr:row>15</xdr:row>
      <xdr:rowOff>148168</xdr:rowOff>
    </xdr:from>
    <xdr:to>
      <xdr:col>19</xdr:col>
      <xdr:colOff>137584</xdr:colOff>
      <xdr:row>30</xdr:row>
      <xdr:rowOff>33868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A034C72-6E4C-45F8-ACA6-FD645C021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137583</xdr:colOff>
      <xdr:row>30</xdr:row>
      <xdr:rowOff>84667</xdr:rowOff>
    </xdr:from>
    <xdr:to>
      <xdr:col>19</xdr:col>
      <xdr:colOff>137583</xdr:colOff>
      <xdr:row>44</xdr:row>
      <xdr:rowOff>160867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76AAA177-9393-4AB1-B0E5-EE5C45308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211667</xdr:colOff>
      <xdr:row>1</xdr:row>
      <xdr:rowOff>10585</xdr:rowOff>
    </xdr:from>
    <xdr:to>
      <xdr:col>25</xdr:col>
      <xdr:colOff>211667</xdr:colOff>
      <xdr:row>15</xdr:row>
      <xdr:rowOff>86785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2C90EED-8C4A-4781-B962-D462262AA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232834</xdr:colOff>
      <xdr:row>15</xdr:row>
      <xdr:rowOff>158751</xdr:rowOff>
    </xdr:from>
    <xdr:to>
      <xdr:col>25</xdr:col>
      <xdr:colOff>232834</xdr:colOff>
      <xdr:row>30</xdr:row>
      <xdr:rowOff>44451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999EE8E0-4540-4BD2-A53E-FED32277B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232833</xdr:colOff>
      <xdr:row>30</xdr:row>
      <xdr:rowOff>116417</xdr:rowOff>
    </xdr:from>
    <xdr:to>
      <xdr:col>25</xdr:col>
      <xdr:colOff>232833</xdr:colOff>
      <xdr:row>45</xdr:row>
      <xdr:rowOff>2117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86F4E62B-C12C-453D-8EDC-0AC64B432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285750</xdr:colOff>
      <xdr:row>1</xdr:row>
      <xdr:rowOff>10585</xdr:rowOff>
    </xdr:from>
    <xdr:to>
      <xdr:col>31</xdr:col>
      <xdr:colOff>285750</xdr:colOff>
      <xdr:row>15</xdr:row>
      <xdr:rowOff>86785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D9F254BD-5EEA-41E5-B3C9-488DDC08D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296334</xdr:colOff>
      <xdr:row>15</xdr:row>
      <xdr:rowOff>169334</xdr:rowOff>
    </xdr:from>
    <xdr:to>
      <xdr:col>31</xdr:col>
      <xdr:colOff>296334</xdr:colOff>
      <xdr:row>30</xdr:row>
      <xdr:rowOff>55034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50B1EAC0-FA4B-4AD8-9132-618D735F1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306916</xdr:colOff>
      <xdr:row>30</xdr:row>
      <xdr:rowOff>116418</xdr:rowOff>
    </xdr:from>
    <xdr:to>
      <xdr:col>31</xdr:col>
      <xdr:colOff>306916</xdr:colOff>
      <xdr:row>45</xdr:row>
      <xdr:rowOff>2118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EE8652D6-915C-4721-B9B0-17C3E3F36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370417</xdr:colOff>
      <xdr:row>1</xdr:row>
      <xdr:rowOff>10584</xdr:rowOff>
    </xdr:from>
    <xdr:to>
      <xdr:col>37</xdr:col>
      <xdr:colOff>370417</xdr:colOff>
      <xdr:row>15</xdr:row>
      <xdr:rowOff>86784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5394A247-7ADD-4E7F-AE3E-D72CD5BF3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381000</xdr:colOff>
      <xdr:row>15</xdr:row>
      <xdr:rowOff>169334</xdr:rowOff>
    </xdr:from>
    <xdr:to>
      <xdr:col>37</xdr:col>
      <xdr:colOff>381000</xdr:colOff>
      <xdr:row>30</xdr:row>
      <xdr:rowOff>55034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9CCD24A-2A22-4121-A56B-2B6EAE08A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391583</xdr:colOff>
      <xdr:row>30</xdr:row>
      <xdr:rowOff>148168</xdr:rowOff>
    </xdr:from>
    <xdr:to>
      <xdr:col>37</xdr:col>
      <xdr:colOff>391583</xdr:colOff>
      <xdr:row>45</xdr:row>
      <xdr:rowOff>33868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E6BD6161-0EBF-4957-AE4C-2F5EFD0BA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R26"/>
  <sheetViews>
    <sheetView tabSelected="1" zoomScale="120" zoomScaleNormal="120" workbookViewId="0">
      <selection activeCell="G29" sqref="G29"/>
    </sheetView>
  </sheetViews>
  <sheetFormatPr defaultColWidth="11.42578125" defaultRowHeight="15" x14ac:dyDescent="0.25"/>
  <cols>
    <col min="1" max="1" width="6.5703125" customWidth="1"/>
    <col min="4" max="4" width="15.28515625" bestFit="1" customWidth="1"/>
    <col min="9" max="9" width="11.5703125" customWidth="1"/>
    <col min="10" max="10" width="0.42578125" hidden="1" customWidth="1"/>
    <col min="12" max="12" width="11.42578125" customWidth="1"/>
    <col min="13" max="13" width="11.28515625" customWidth="1"/>
  </cols>
  <sheetData>
    <row r="1" spans="2:18" ht="15.75" thickBot="1" x14ac:dyDescent="0.3">
      <c r="I1" s="43"/>
      <c r="J1" s="43"/>
    </row>
    <row r="2" spans="2:18" ht="16.5" thickBot="1" x14ac:dyDescent="0.3">
      <c r="B2" s="302" t="s">
        <v>3</v>
      </c>
      <c r="C2" s="303"/>
      <c r="D2" s="304" t="s">
        <v>2</v>
      </c>
      <c r="E2" s="305" t="s">
        <v>4</v>
      </c>
      <c r="F2" s="2" t="s">
        <v>5</v>
      </c>
      <c r="G2" s="2" t="s">
        <v>7</v>
      </c>
      <c r="H2" s="2" t="s">
        <v>6</v>
      </c>
      <c r="I2" s="306" t="s">
        <v>8</v>
      </c>
      <c r="J2" s="306"/>
      <c r="K2" s="307" t="s">
        <v>30</v>
      </c>
      <c r="L2" s="307" t="s">
        <v>31</v>
      </c>
      <c r="M2" s="306" t="s">
        <v>1</v>
      </c>
      <c r="N2" s="308" t="s">
        <v>9</v>
      </c>
      <c r="O2" s="309" t="s">
        <v>10</v>
      </c>
      <c r="P2" s="310" t="s">
        <v>11</v>
      </c>
    </row>
    <row r="3" spans="2:18" ht="15.75" x14ac:dyDescent="0.25">
      <c r="B3" s="294">
        <v>1</v>
      </c>
      <c r="C3" s="295"/>
      <c r="D3" s="296" t="s">
        <v>13</v>
      </c>
      <c r="E3" s="297">
        <v>10</v>
      </c>
      <c r="F3" s="160">
        <f>'Rangliste (2)'!F13</f>
        <v>20</v>
      </c>
      <c r="G3" s="160">
        <f>'Rangliste (2)'!G13</f>
        <v>2</v>
      </c>
      <c r="H3" s="160">
        <f>'Rangliste (2)'!H13</f>
        <v>15</v>
      </c>
      <c r="I3" s="298">
        <f>'Rangliste (2)'!I13</f>
        <v>62</v>
      </c>
      <c r="J3" s="298"/>
      <c r="K3" s="160">
        <f>'Rangliste (2)'!K13</f>
        <v>117</v>
      </c>
      <c r="L3" s="160">
        <f>'Rangliste (2)'!L13</f>
        <v>100</v>
      </c>
      <c r="M3" s="298">
        <f>'Rangliste (2)'!M13</f>
        <v>17</v>
      </c>
      <c r="N3" s="299">
        <f>'Rangliste (2)'!O13</f>
        <v>37</v>
      </c>
      <c r="O3" s="300">
        <f>'Rangliste (2)'!P13</f>
        <v>1.85</v>
      </c>
      <c r="P3" s="301">
        <f>'Rangliste (2)'!Q13</f>
        <v>3.525675675675676</v>
      </c>
    </row>
    <row r="4" spans="2:18" ht="15.75" x14ac:dyDescent="0.25">
      <c r="B4" s="283">
        <v>2</v>
      </c>
      <c r="C4" s="278"/>
      <c r="D4" s="279" t="s">
        <v>28</v>
      </c>
      <c r="E4" s="280">
        <v>3</v>
      </c>
      <c r="F4" s="30">
        <f>'Rangliste (2)'!F19</f>
        <v>18</v>
      </c>
      <c r="G4" s="30">
        <f>'Rangliste (2)'!G19</f>
        <v>3</v>
      </c>
      <c r="H4" s="30">
        <f>'Rangliste (2)'!H19</f>
        <v>13</v>
      </c>
      <c r="I4" s="275">
        <f>'Rangliste (2)'!I19</f>
        <v>57</v>
      </c>
      <c r="J4" s="30"/>
      <c r="K4" s="30">
        <f>'Rangliste (2)'!K19</f>
        <v>104</v>
      </c>
      <c r="L4" s="30">
        <f>'Rangliste (2)'!L19</f>
        <v>95</v>
      </c>
      <c r="M4" s="275">
        <f>'Rangliste (2)'!M19</f>
        <v>9</v>
      </c>
      <c r="N4" s="276">
        <f>'Rangliste (2)'!O19</f>
        <v>34</v>
      </c>
      <c r="O4" s="277">
        <f>'Rangliste (2)'!P19</f>
        <v>1.7000000000000002</v>
      </c>
      <c r="P4" s="284">
        <f>'Rangliste (2)'!Q19</f>
        <v>3.3764705882352946</v>
      </c>
    </row>
    <row r="5" spans="2:18" ht="15.75" x14ac:dyDescent="0.25">
      <c r="B5" s="283">
        <v>3</v>
      </c>
      <c r="C5" s="278"/>
      <c r="D5" s="279" t="s">
        <v>22</v>
      </c>
      <c r="E5" s="280">
        <v>8</v>
      </c>
      <c r="F5" s="30">
        <f>'Rangliste (2)'!F7</f>
        <v>16</v>
      </c>
      <c r="G5" s="30">
        <f>'Rangliste (2)'!G7</f>
        <v>3</v>
      </c>
      <c r="H5" s="30">
        <f>'Rangliste (2)'!H7</f>
        <v>17</v>
      </c>
      <c r="I5" s="275">
        <f>'Rangliste (2)'!I7</f>
        <v>51</v>
      </c>
      <c r="J5" s="275"/>
      <c r="K5" s="30">
        <f>'Rangliste (2)'!K7</f>
        <v>98</v>
      </c>
      <c r="L5" s="30">
        <f>'Rangliste (2)'!L7</f>
        <v>103</v>
      </c>
      <c r="M5" s="275">
        <f>'Rangliste (2)'!M7</f>
        <v>-5</v>
      </c>
      <c r="N5" s="276">
        <f>'Rangliste (2)'!O7</f>
        <v>36</v>
      </c>
      <c r="O5" s="277">
        <f>'Rangliste (2)'!P7</f>
        <v>1.8</v>
      </c>
      <c r="P5" s="284">
        <f>'Rangliste (2)'!Q7</f>
        <v>3.2166666666666668</v>
      </c>
    </row>
    <row r="6" spans="2:18" ht="15.75" x14ac:dyDescent="0.25">
      <c r="B6" s="283">
        <v>4</v>
      </c>
      <c r="C6" s="278"/>
      <c r="D6" s="279" t="s">
        <v>21</v>
      </c>
      <c r="E6" s="280">
        <v>4</v>
      </c>
      <c r="F6" s="30">
        <f>'Rangliste (2)'!F9</f>
        <v>16</v>
      </c>
      <c r="G6" s="30">
        <f>'Rangliste (2)'!G9</f>
        <v>3</v>
      </c>
      <c r="H6" s="30">
        <f>'Rangliste (2)'!H9</f>
        <v>14</v>
      </c>
      <c r="I6" s="275">
        <f>'Rangliste (2)'!I9</f>
        <v>51</v>
      </c>
      <c r="J6" s="275"/>
      <c r="K6" s="30">
        <f>'Rangliste (2)'!K9</f>
        <v>102</v>
      </c>
      <c r="L6" s="30">
        <f>'Rangliste (2)'!L9</f>
        <v>96</v>
      </c>
      <c r="M6" s="275">
        <f>'Rangliste (2)'!M9</f>
        <v>6</v>
      </c>
      <c r="N6" s="276">
        <f>'Rangliste (2)'!O9</f>
        <v>33</v>
      </c>
      <c r="O6" s="277">
        <f>'Rangliste (2)'!P9</f>
        <v>1.6500000000000001</v>
      </c>
      <c r="P6" s="284">
        <f>'Rangliste (2)'!Q9</f>
        <v>3.1954545454545453</v>
      </c>
    </row>
    <row r="7" spans="2:18" ht="15.75" x14ac:dyDescent="0.25">
      <c r="B7" s="283">
        <v>5</v>
      </c>
      <c r="C7" s="278"/>
      <c r="D7" s="279" t="s">
        <v>123</v>
      </c>
      <c r="E7" s="280">
        <v>6</v>
      </c>
      <c r="F7" s="30">
        <f>'Rangliste (2)'!F22</f>
        <v>14</v>
      </c>
      <c r="G7" s="30">
        <f>'Rangliste (2)'!G22</f>
        <v>2</v>
      </c>
      <c r="H7" s="30">
        <f>'Rangliste (2)'!H22</f>
        <v>7</v>
      </c>
      <c r="I7" s="275">
        <f>'Rangliste (2)'!I22</f>
        <v>44</v>
      </c>
      <c r="J7" s="30"/>
      <c r="K7" s="30">
        <f>'Rangliste (2)'!K22</f>
        <v>65</v>
      </c>
      <c r="L7" s="30">
        <f>'Rangliste (2)'!L22</f>
        <v>64</v>
      </c>
      <c r="M7" s="275">
        <f>'Rangliste (2)'!M22</f>
        <v>1</v>
      </c>
      <c r="N7" s="276">
        <f>'Rangliste (2)'!O22</f>
        <v>23</v>
      </c>
      <c r="O7" s="277">
        <f>'Rangliste (2)'!P22</f>
        <v>1.1500000000000001</v>
      </c>
      <c r="P7" s="284">
        <f>'Rangliste (2)'!Q22</f>
        <v>3.0630434782608695</v>
      </c>
    </row>
    <row r="8" spans="2:18" ht="15.75" x14ac:dyDescent="0.25">
      <c r="B8" s="283">
        <v>6</v>
      </c>
      <c r="C8" s="278"/>
      <c r="D8" s="279" t="s">
        <v>17</v>
      </c>
      <c r="E8" s="280">
        <v>13</v>
      </c>
      <c r="F8" s="30">
        <f>'Rangliste (2)'!F8</f>
        <v>13</v>
      </c>
      <c r="G8" s="30">
        <f>'Rangliste (2)'!G8</f>
        <v>3</v>
      </c>
      <c r="H8" s="30">
        <f>'Rangliste (2)'!H8</f>
        <v>15</v>
      </c>
      <c r="I8" s="275">
        <f>'Rangliste (2)'!I8</f>
        <v>42</v>
      </c>
      <c r="J8" s="275"/>
      <c r="K8" s="30">
        <f>'Rangliste (2)'!K8</f>
        <v>76</v>
      </c>
      <c r="L8" s="30">
        <f>'Rangliste (2)'!L8</f>
        <v>94</v>
      </c>
      <c r="M8" s="275">
        <f>'Rangliste (2)'!M8</f>
        <v>-18</v>
      </c>
      <c r="N8" s="276">
        <f>'Rangliste (2)'!O8</f>
        <v>31</v>
      </c>
      <c r="O8" s="277">
        <f>'Rangliste (2)'!P8</f>
        <v>1.55</v>
      </c>
      <c r="P8" s="284">
        <f>'Rangliste (2)'!Q8</f>
        <v>2.9048387096774193</v>
      </c>
    </row>
    <row r="9" spans="2:18" ht="15.75" x14ac:dyDescent="0.25">
      <c r="B9" s="283">
        <v>7</v>
      </c>
      <c r="C9" s="278"/>
      <c r="D9" s="279" t="s">
        <v>15</v>
      </c>
      <c r="E9" s="280">
        <v>16</v>
      </c>
      <c r="F9" s="30">
        <f>'Rangliste (2)'!F14</f>
        <v>13</v>
      </c>
      <c r="G9" s="30">
        <f>'Rangliste (2)'!G14</f>
        <v>3</v>
      </c>
      <c r="H9" s="30">
        <f>'Rangliste (2)'!H14</f>
        <v>13</v>
      </c>
      <c r="I9" s="275">
        <f>'Rangliste (2)'!I14</f>
        <v>42</v>
      </c>
      <c r="J9" s="275"/>
      <c r="K9" s="30">
        <f>'Rangliste (2)'!K14</f>
        <v>72</v>
      </c>
      <c r="L9" s="30">
        <f>'Rangliste (2)'!L14</f>
        <v>72</v>
      </c>
      <c r="M9" s="275">
        <f>'Rangliste (2)'!M14</f>
        <v>0</v>
      </c>
      <c r="N9" s="276">
        <f>'Rangliste (2)'!O14</f>
        <v>29</v>
      </c>
      <c r="O9" s="277">
        <f>'Rangliste (2)'!P14</f>
        <v>1.4500000000000002</v>
      </c>
      <c r="P9" s="284">
        <f>'Rangliste (2)'!Q14</f>
        <v>2.8982758620689655</v>
      </c>
    </row>
    <row r="10" spans="2:18" ht="15.75" x14ac:dyDescent="0.25">
      <c r="B10" s="283">
        <v>8</v>
      </c>
      <c r="C10" s="278"/>
      <c r="D10" s="279" t="s">
        <v>119</v>
      </c>
      <c r="E10" s="280">
        <v>10</v>
      </c>
      <c r="F10" s="30">
        <f>'Rangliste (2)'!F5</f>
        <v>13</v>
      </c>
      <c r="G10" s="30">
        <f>'Rangliste (2)'!G5</f>
        <v>2</v>
      </c>
      <c r="H10" s="30">
        <f>'Rangliste (2)'!H5</f>
        <v>16</v>
      </c>
      <c r="I10" s="275">
        <f>'Rangliste (2)'!I5</f>
        <v>41</v>
      </c>
      <c r="J10" s="275"/>
      <c r="K10" s="30">
        <f>'Rangliste (2)'!K5</f>
        <v>83</v>
      </c>
      <c r="L10" s="30">
        <f>'Rangliste (2)'!L5</f>
        <v>88</v>
      </c>
      <c r="M10" s="275">
        <f>'Rangliste (2)'!M5</f>
        <v>-5</v>
      </c>
      <c r="N10" s="276">
        <f>'Rangliste (2)'!O5</f>
        <v>31</v>
      </c>
      <c r="O10" s="277">
        <f>'Rangliste (2)'!P5</f>
        <v>1.55</v>
      </c>
      <c r="P10" s="284">
        <f>'Rangliste (2)'!Q5</f>
        <v>2.8725806451612903</v>
      </c>
    </row>
    <row r="11" spans="2:18" ht="15.75" x14ac:dyDescent="0.25">
      <c r="B11" s="283">
        <v>9</v>
      </c>
      <c r="C11" s="278"/>
      <c r="D11" s="279" t="s">
        <v>25</v>
      </c>
      <c r="E11" s="280">
        <v>16</v>
      </c>
      <c r="F11" s="30">
        <f>'Rangliste (2)'!F4</f>
        <v>13</v>
      </c>
      <c r="G11" s="30">
        <f>'Rangliste (2)'!G4</f>
        <v>2</v>
      </c>
      <c r="H11" s="30">
        <f>'Rangliste (2)'!H4</f>
        <v>15</v>
      </c>
      <c r="I11" s="275">
        <f>'Rangliste (2)'!I4</f>
        <v>41</v>
      </c>
      <c r="J11" s="275"/>
      <c r="K11" s="30">
        <f>'Rangliste (2)'!K4</f>
        <v>76</v>
      </c>
      <c r="L11" s="30">
        <f>'Rangliste (2)'!L4</f>
        <v>82</v>
      </c>
      <c r="M11" s="275">
        <f>'Rangliste (2)'!M4</f>
        <v>-6</v>
      </c>
      <c r="N11" s="276">
        <f>'Rangliste (2)'!O4</f>
        <v>30</v>
      </c>
      <c r="O11" s="277">
        <f>'Rangliste (2)'!P4</f>
        <v>1.5</v>
      </c>
      <c r="P11" s="284">
        <f>'Rangliste (2)'!Q4</f>
        <v>2.8666666666666667</v>
      </c>
      <c r="Q11" s="43"/>
    </row>
    <row r="12" spans="2:18" ht="15.75" x14ac:dyDescent="0.25">
      <c r="B12" s="283">
        <v>10</v>
      </c>
      <c r="C12" s="278"/>
      <c r="D12" s="279" t="s">
        <v>14</v>
      </c>
      <c r="E12" s="280">
        <v>3</v>
      </c>
      <c r="F12" s="30">
        <f>'Rangliste (2)'!F6</f>
        <v>11</v>
      </c>
      <c r="G12" s="30">
        <f>'Rangliste (2)'!G6</f>
        <v>1</v>
      </c>
      <c r="H12" s="30">
        <f>'Rangliste (2)'!H6</f>
        <v>9</v>
      </c>
      <c r="I12" s="275">
        <f>'Rangliste (2)'!I6</f>
        <v>34</v>
      </c>
      <c r="J12" s="275"/>
      <c r="K12" s="30">
        <f>'Rangliste (2)'!K6</f>
        <v>60</v>
      </c>
      <c r="L12" s="30">
        <f>'Rangliste (2)'!L6</f>
        <v>66</v>
      </c>
      <c r="M12" s="275">
        <f>'Rangliste (2)'!M6</f>
        <v>-6</v>
      </c>
      <c r="N12" s="276">
        <f>'Rangliste (2)'!O6</f>
        <v>21</v>
      </c>
      <c r="O12" s="277">
        <f>'Rangliste (2)'!P6</f>
        <v>1.05</v>
      </c>
      <c r="P12" s="284">
        <f>'Rangliste (2)'!Q6</f>
        <v>2.6690476190476193</v>
      </c>
    </row>
    <row r="13" spans="2:18" ht="15.75" x14ac:dyDescent="0.25">
      <c r="B13" s="283">
        <v>11</v>
      </c>
      <c r="C13" s="278"/>
      <c r="D13" s="282" t="s">
        <v>27</v>
      </c>
      <c r="E13" s="280">
        <v>4</v>
      </c>
      <c r="F13" s="30">
        <f>'Rangliste (2)'!F17</f>
        <v>10</v>
      </c>
      <c r="G13" s="30">
        <f>'Rangliste (2)'!G17</f>
        <v>2</v>
      </c>
      <c r="H13" s="30">
        <f>'Rangliste (2)'!H17</f>
        <v>10</v>
      </c>
      <c r="I13" s="275">
        <f>'Rangliste (2)'!I17</f>
        <v>32</v>
      </c>
      <c r="J13" s="30"/>
      <c r="K13" s="30">
        <f>'Rangliste (2)'!K17</f>
        <v>56</v>
      </c>
      <c r="L13" s="30">
        <f>'Rangliste (2)'!L17</f>
        <v>61</v>
      </c>
      <c r="M13" s="275">
        <f>'Rangliste (2)'!M17</f>
        <v>-5</v>
      </c>
      <c r="N13" s="276">
        <f>'Rangliste (2)'!O17</f>
        <v>22</v>
      </c>
      <c r="O13" s="277">
        <f>'Rangliste (2)'!P17</f>
        <v>1.1000000000000001</v>
      </c>
      <c r="P13" s="284">
        <f>'Rangliste (2)'!Q17</f>
        <v>2.5545454545454547</v>
      </c>
    </row>
    <row r="14" spans="2:18" ht="15.75" x14ac:dyDescent="0.25">
      <c r="B14" s="283">
        <v>12</v>
      </c>
      <c r="C14" s="278"/>
      <c r="D14" s="279" t="s">
        <v>122</v>
      </c>
      <c r="E14" s="280">
        <v>6</v>
      </c>
      <c r="F14" s="30">
        <f>'Rangliste (2)'!F21</f>
        <v>10</v>
      </c>
      <c r="G14" s="30">
        <f>'Rangliste (2)'!G21</f>
        <v>2</v>
      </c>
      <c r="H14" s="30">
        <f>'Rangliste (2)'!H21</f>
        <v>13</v>
      </c>
      <c r="I14" s="275">
        <f>'Rangliste (2)'!I21</f>
        <v>32</v>
      </c>
      <c r="J14" s="281"/>
      <c r="K14" s="30">
        <f>'Rangliste (2)'!K21</f>
        <v>44</v>
      </c>
      <c r="L14" s="30">
        <f>'Rangliste (2)'!L21</f>
        <v>36</v>
      </c>
      <c r="M14" s="275">
        <f>'Rangliste (2)'!M21</f>
        <v>8</v>
      </c>
      <c r="N14" s="276">
        <f>'Rangliste (2)'!O21</f>
        <v>25</v>
      </c>
      <c r="O14" s="277">
        <f>'Rangliste (2)'!P21</f>
        <v>1.25</v>
      </c>
      <c r="P14" s="284">
        <f>'Rangliste (2)'!Q21</f>
        <v>2.5300000000000002</v>
      </c>
      <c r="Q14" s="9"/>
    </row>
    <row r="15" spans="2:18" ht="15.75" x14ac:dyDescent="0.25">
      <c r="B15" s="283">
        <v>14</v>
      </c>
      <c r="C15" s="278"/>
      <c r="D15" s="279" t="s">
        <v>56</v>
      </c>
      <c r="E15" s="280">
        <v>1</v>
      </c>
      <c r="F15" s="30">
        <f>'Rangliste (2)'!F15</f>
        <v>8</v>
      </c>
      <c r="G15" s="30">
        <f>'Rangliste (2)'!G15</f>
        <v>3</v>
      </c>
      <c r="H15" s="30">
        <f>'Rangliste (2)'!H15</f>
        <v>5</v>
      </c>
      <c r="I15" s="275">
        <f>'Rangliste (2)'!I15</f>
        <v>27</v>
      </c>
      <c r="J15" s="275"/>
      <c r="K15" s="30">
        <f>'Rangliste (2)'!K15</f>
        <v>44</v>
      </c>
      <c r="L15" s="30">
        <f>'Rangliste (2)'!L15</f>
        <v>36</v>
      </c>
      <c r="M15" s="275">
        <f>'Rangliste (2)'!M15</f>
        <v>8</v>
      </c>
      <c r="N15" s="276">
        <f>'Rangliste (2)'!O15</f>
        <v>16</v>
      </c>
      <c r="O15" s="277">
        <f>'Rangliste (2)'!P15</f>
        <v>0.8</v>
      </c>
      <c r="P15" s="284">
        <f>'Rangliste (2)'!Q15</f>
        <v>2.4874999999999998</v>
      </c>
      <c r="Q15" s="274"/>
      <c r="R15" s="43"/>
    </row>
    <row r="16" spans="2:18" ht="15.75" x14ac:dyDescent="0.25">
      <c r="B16" s="283">
        <v>13</v>
      </c>
      <c r="C16" s="278"/>
      <c r="D16" s="279" t="s">
        <v>16</v>
      </c>
      <c r="E16" s="280">
        <v>1</v>
      </c>
      <c r="F16" s="30">
        <f>'Rangliste (2)'!F12</f>
        <v>8</v>
      </c>
      <c r="G16" s="30">
        <f>'Rangliste (2)'!G12</f>
        <v>0</v>
      </c>
      <c r="H16" s="30">
        <f>'Rangliste (2)'!H12</f>
        <v>13</v>
      </c>
      <c r="I16" s="275">
        <f>'Rangliste (2)'!I12</f>
        <v>24</v>
      </c>
      <c r="J16" s="275"/>
      <c r="K16" s="30">
        <f>'Rangliste (2)'!K12</f>
        <v>49</v>
      </c>
      <c r="L16" s="30">
        <f>'Rangliste (2)'!L12</f>
        <v>59</v>
      </c>
      <c r="M16" s="275">
        <f>'Rangliste (2)'!M12</f>
        <v>-10</v>
      </c>
      <c r="N16" s="276">
        <f>'Rangliste (2)'!O12</f>
        <v>21</v>
      </c>
      <c r="O16" s="277">
        <f>'Rangliste (2)'!P12</f>
        <v>1.05</v>
      </c>
      <c r="P16" s="284">
        <f>'Rangliste (2)'!Q12</f>
        <v>2.1928571428571431</v>
      </c>
      <c r="Q16" s="179"/>
      <c r="R16" s="43"/>
    </row>
    <row r="17" spans="2:18" ht="15.75" x14ac:dyDescent="0.25">
      <c r="B17" s="283">
        <v>15</v>
      </c>
      <c r="C17" s="278"/>
      <c r="D17" s="279" t="s">
        <v>19</v>
      </c>
      <c r="E17" s="280">
        <v>0</v>
      </c>
      <c r="F17" s="30">
        <f>'Rangliste (2)'!F20</f>
        <v>5</v>
      </c>
      <c r="G17" s="30">
        <f>'Rangliste (2)'!G20</f>
        <v>2</v>
      </c>
      <c r="H17" s="30">
        <f>'Rangliste (2)'!H20</f>
        <v>6</v>
      </c>
      <c r="I17" s="275">
        <f>'Rangliste (2)'!I20</f>
        <v>17</v>
      </c>
      <c r="J17" s="30"/>
      <c r="K17" s="30">
        <f>'Rangliste (2)'!K20</f>
        <v>33</v>
      </c>
      <c r="L17" s="30">
        <f>'Rangliste (2)'!L20</f>
        <v>30</v>
      </c>
      <c r="M17" s="275">
        <f>'Rangliste (2)'!M20</f>
        <v>3</v>
      </c>
      <c r="N17" s="276">
        <f>'Rangliste (2)'!O20</f>
        <v>13</v>
      </c>
      <c r="O17" s="277">
        <f>'Rangliste (2)'!P20</f>
        <v>0.65</v>
      </c>
      <c r="P17" s="284">
        <f>'Rangliste (2)'!Q20</f>
        <v>1.9576923076923078</v>
      </c>
      <c r="Q17" s="161"/>
    </row>
    <row r="18" spans="2:18" ht="15.75" x14ac:dyDescent="0.25">
      <c r="B18" s="283">
        <v>16</v>
      </c>
      <c r="C18" s="278"/>
      <c r="D18" s="279" t="s">
        <v>18</v>
      </c>
      <c r="E18" s="280">
        <v>0</v>
      </c>
      <c r="F18" s="30">
        <f>'Rangliste (2)'!F11</f>
        <v>0</v>
      </c>
      <c r="G18" s="30">
        <f>'Rangliste (2)'!G11</f>
        <v>0</v>
      </c>
      <c r="H18" s="30">
        <f>'Rangliste (2)'!H11</f>
        <v>0</v>
      </c>
      <c r="I18" s="275">
        <f>'Rangliste (2)'!I11</f>
        <v>0</v>
      </c>
      <c r="J18" s="275"/>
      <c r="K18" s="30">
        <f>'Rangliste (2)'!K11</f>
        <v>0</v>
      </c>
      <c r="L18" s="30">
        <f>'Rangliste (2)'!L11</f>
        <v>0</v>
      </c>
      <c r="M18" s="275">
        <f>'Rangliste (2)'!M11</f>
        <v>0</v>
      </c>
      <c r="N18" s="276">
        <f>'Rangliste (2)'!O11</f>
        <v>0</v>
      </c>
      <c r="O18" s="277">
        <f>'Rangliste (2)'!P11</f>
        <v>0</v>
      </c>
      <c r="P18" s="284" t="e">
        <f>'Rangliste (2)'!Q11</f>
        <v>#DIV/0!</v>
      </c>
      <c r="Q18" s="161"/>
      <c r="R18" s="43"/>
    </row>
    <row r="19" spans="2:18" ht="15.75" x14ac:dyDescent="0.25">
      <c r="B19" s="283">
        <v>17</v>
      </c>
      <c r="C19" s="278"/>
      <c r="D19" s="279" t="s">
        <v>24</v>
      </c>
      <c r="E19" s="280">
        <v>0</v>
      </c>
      <c r="F19" s="30">
        <f>'Rangliste (2)'!F18</f>
        <v>0</v>
      </c>
      <c r="G19" s="30">
        <f>'Rangliste (2)'!G18</f>
        <v>0</v>
      </c>
      <c r="H19" s="30">
        <f>'Rangliste (2)'!H18</f>
        <v>0</v>
      </c>
      <c r="I19" s="275">
        <f>'Rangliste (2)'!I18</f>
        <v>0</v>
      </c>
      <c r="J19" s="30"/>
      <c r="K19" s="30">
        <f>'Rangliste (2)'!K18</f>
        <v>0</v>
      </c>
      <c r="L19" s="30">
        <f>'Rangliste (2)'!L18</f>
        <v>0</v>
      </c>
      <c r="M19" s="275">
        <f>'Rangliste (2)'!M18</f>
        <v>0</v>
      </c>
      <c r="N19" s="276">
        <f>'Rangliste (2)'!O18</f>
        <v>0</v>
      </c>
      <c r="O19" s="277">
        <f>'Rangliste (2)'!P18</f>
        <v>0</v>
      </c>
      <c r="P19" s="284" t="e">
        <f>'Rangliste (2)'!Q18</f>
        <v>#DIV/0!</v>
      </c>
      <c r="Q19" s="161"/>
    </row>
    <row r="20" spans="2:18" ht="15.75" x14ac:dyDescent="0.25">
      <c r="B20" s="283">
        <v>18</v>
      </c>
      <c r="C20" s="278"/>
      <c r="D20" s="279" t="s">
        <v>12</v>
      </c>
      <c r="E20" s="280">
        <v>0</v>
      </c>
      <c r="F20" s="30">
        <f>'Rangliste (2)'!F16</f>
        <v>0</v>
      </c>
      <c r="G20" s="30">
        <f>'Rangliste (2)'!G16</f>
        <v>0</v>
      </c>
      <c r="H20" s="30">
        <f>'Rangliste (2)'!H16</f>
        <v>0</v>
      </c>
      <c r="I20" s="275">
        <f>'Rangliste (2)'!I16</f>
        <v>0</v>
      </c>
      <c r="J20" s="275"/>
      <c r="K20" s="30">
        <f>'Rangliste (2)'!K16</f>
        <v>0</v>
      </c>
      <c r="L20" s="30">
        <f>'Rangliste (2)'!L16</f>
        <v>0</v>
      </c>
      <c r="M20" s="275">
        <f>'Rangliste (2)'!M16</f>
        <v>0</v>
      </c>
      <c r="N20" s="276">
        <f>'Rangliste (2)'!O16</f>
        <v>0</v>
      </c>
      <c r="O20" s="277">
        <f>'Rangliste (2)'!P16</f>
        <v>0</v>
      </c>
      <c r="P20" s="284" t="e">
        <f>'Rangliste (2)'!Q16</f>
        <v>#DIV/0!</v>
      </c>
    </row>
    <row r="21" spans="2:18" ht="15.75" x14ac:dyDescent="0.25">
      <c r="B21" s="283">
        <v>19</v>
      </c>
      <c r="C21" s="278"/>
      <c r="D21" s="279" t="s">
        <v>20</v>
      </c>
      <c r="E21" s="280">
        <v>0</v>
      </c>
      <c r="F21" s="30">
        <f>'Rangliste (2)'!F3</f>
        <v>0</v>
      </c>
      <c r="G21" s="30">
        <f>'Rangliste (2)'!G3</f>
        <v>0</v>
      </c>
      <c r="H21" s="30">
        <f>'Rangliste (2)'!H3</f>
        <v>0</v>
      </c>
      <c r="I21" s="275">
        <f>'Rangliste (2)'!I3</f>
        <v>0</v>
      </c>
      <c r="J21" s="275"/>
      <c r="K21" s="30">
        <f>'Rangliste (2)'!K3</f>
        <v>0</v>
      </c>
      <c r="L21" s="30">
        <f>'Rangliste (2)'!L3</f>
        <v>0</v>
      </c>
      <c r="M21" s="275">
        <f>'Rangliste (2)'!M3</f>
        <v>0</v>
      </c>
      <c r="N21" s="276">
        <f>'Rangliste (2)'!O3</f>
        <v>0</v>
      </c>
      <c r="O21" s="277">
        <f>'Rangliste (2)'!P3</f>
        <v>0</v>
      </c>
      <c r="P21" s="284" t="e">
        <f>'Rangliste (2)'!Q3</f>
        <v>#DIV/0!</v>
      </c>
    </row>
    <row r="22" spans="2:18" ht="16.5" thickBot="1" x14ac:dyDescent="0.3">
      <c r="B22" s="285">
        <v>20</v>
      </c>
      <c r="C22" s="286"/>
      <c r="D22" s="287" t="s">
        <v>26</v>
      </c>
      <c r="E22" s="288">
        <v>0</v>
      </c>
      <c r="F22" s="289">
        <f>'Rangliste (2)'!F10</f>
        <v>0</v>
      </c>
      <c r="G22" s="289">
        <f>'Rangliste (2)'!G10</f>
        <v>0</v>
      </c>
      <c r="H22" s="289">
        <f>'Rangliste (2)'!H10</f>
        <v>0</v>
      </c>
      <c r="I22" s="290">
        <f>'Rangliste (2)'!I10</f>
        <v>0</v>
      </c>
      <c r="J22" s="290"/>
      <c r="K22" s="289">
        <f>'Rangliste (2)'!K10</f>
        <v>0</v>
      </c>
      <c r="L22" s="289">
        <f>'Rangliste (2)'!L10</f>
        <v>0</v>
      </c>
      <c r="M22" s="290">
        <f>'Rangliste (2)'!M10</f>
        <v>0</v>
      </c>
      <c r="N22" s="291">
        <f>'Rangliste (2)'!O10</f>
        <v>0</v>
      </c>
      <c r="O22" s="292">
        <f>'Rangliste (2)'!P10</f>
        <v>0</v>
      </c>
      <c r="P22" s="293" t="e">
        <f>'Rangliste (2)'!Q10</f>
        <v>#DIV/0!</v>
      </c>
    </row>
    <row r="26" spans="2:18" x14ac:dyDescent="0.25">
      <c r="B26" s="43"/>
    </row>
  </sheetData>
  <sortState xmlns:xlrd2="http://schemas.microsoft.com/office/spreadsheetml/2017/richdata2" ref="D3:P17">
    <sortCondition descending="1" ref="P3:P17"/>
  </sortState>
  <dataConsolidate/>
  <pageMargins left="0.7" right="0.7" top="0.78740157499999996" bottom="0.78740157499999996" header="0.3" footer="0.3"/>
  <pageSetup paperSize="9" scale="72" orientation="landscape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22"/>
  <sheetViews>
    <sheetView zoomScale="120" zoomScaleNormal="120" workbookViewId="0">
      <selection activeCell="O3" sqref="O3"/>
    </sheetView>
  </sheetViews>
  <sheetFormatPr defaultColWidth="11.42578125" defaultRowHeight="15" x14ac:dyDescent="0.25"/>
  <cols>
    <col min="1" max="1" width="6.5703125" customWidth="1"/>
    <col min="4" max="4" width="15.28515625" bestFit="1" customWidth="1"/>
    <col min="9" max="9" width="11.42578125" customWidth="1"/>
    <col min="10" max="10" width="0.140625" customWidth="1"/>
    <col min="13" max="13" width="11.28515625" customWidth="1"/>
    <col min="14" max="14" width="0.28515625" customWidth="1"/>
  </cols>
  <sheetData>
    <row r="1" spans="2:19" ht="15.75" thickBot="1" x14ac:dyDescent="0.3">
      <c r="I1" s="43"/>
      <c r="J1" s="43"/>
    </row>
    <row r="2" spans="2:19" ht="16.5" thickBot="1" x14ac:dyDescent="0.3">
      <c r="B2" s="302" t="s">
        <v>3</v>
      </c>
      <c r="C2" s="303"/>
      <c r="D2" s="304" t="s">
        <v>2</v>
      </c>
      <c r="E2" s="305" t="s">
        <v>4</v>
      </c>
      <c r="F2" s="2" t="s">
        <v>5</v>
      </c>
      <c r="G2" s="2" t="s">
        <v>7</v>
      </c>
      <c r="H2" s="2" t="s">
        <v>6</v>
      </c>
      <c r="I2" s="306" t="s">
        <v>8</v>
      </c>
      <c r="J2" s="306"/>
      <c r="K2" s="307" t="s">
        <v>30</v>
      </c>
      <c r="L2" s="307" t="s">
        <v>31</v>
      </c>
      <c r="M2" s="306" t="s">
        <v>1</v>
      </c>
      <c r="N2" s="306"/>
      <c r="O2" s="308" t="s">
        <v>9</v>
      </c>
      <c r="P2" s="309" t="s">
        <v>10</v>
      </c>
      <c r="Q2" s="310" t="s">
        <v>11</v>
      </c>
    </row>
    <row r="3" spans="2:19" ht="15.75" x14ac:dyDescent="0.25">
      <c r="B3" s="294">
        <v>1</v>
      </c>
      <c r="C3" s="295"/>
      <c r="D3" s="296" t="s">
        <v>20</v>
      </c>
      <c r="E3" s="297"/>
      <c r="F3" s="160">
        <f>Spiele!AW6</f>
        <v>0</v>
      </c>
      <c r="G3" s="160">
        <f>Spiele!AX6</f>
        <v>0</v>
      </c>
      <c r="H3" s="160">
        <f>Spiele!AY6</f>
        <v>0</v>
      </c>
      <c r="I3" s="298">
        <f t="shared" ref="I3:I20" si="0">F3*3+G3</f>
        <v>0</v>
      </c>
      <c r="J3" s="298"/>
      <c r="K3" s="160">
        <f>Teamtore!AR6</f>
        <v>0</v>
      </c>
      <c r="L3" s="160">
        <f>Gegentore!AR6</f>
        <v>0</v>
      </c>
      <c r="M3" s="298">
        <f t="shared" ref="M3:M20" si="1">K3-L3</f>
        <v>0</v>
      </c>
      <c r="N3" s="298"/>
      <c r="O3" s="299">
        <f>Spiele!AS6</f>
        <v>0</v>
      </c>
      <c r="P3" s="300">
        <f t="shared" ref="P3:P20" si="2">O3*0.05</f>
        <v>0</v>
      </c>
      <c r="Q3" s="301" t="e">
        <f t="shared" ref="Q3:Q20" si="3">(I3/O3)+P3</f>
        <v>#DIV/0!</v>
      </c>
      <c r="S3" s="181"/>
    </row>
    <row r="4" spans="2:19" ht="15.75" x14ac:dyDescent="0.25">
      <c r="B4" s="283">
        <v>2</v>
      </c>
      <c r="C4" s="278"/>
      <c r="D4" s="279" t="s">
        <v>25</v>
      </c>
      <c r="E4" s="280"/>
      <c r="F4" s="30">
        <f>Spiele!AW7</f>
        <v>13</v>
      </c>
      <c r="G4" s="30">
        <f>Spiele!AX7</f>
        <v>2</v>
      </c>
      <c r="H4" s="30">
        <f>Spiele!AY7</f>
        <v>15</v>
      </c>
      <c r="I4" s="275">
        <f t="shared" si="0"/>
        <v>41</v>
      </c>
      <c r="J4" s="275"/>
      <c r="K4" s="30">
        <f>Teamtore!AR7</f>
        <v>76</v>
      </c>
      <c r="L4" s="30">
        <f>Gegentore!AR7</f>
        <v>82</v>
      </c>
      <c r="M4" s="275">
        <f t="shared" si="1"/>
        <v>-6</v>
      </c>
      <c r="N4" s="275"/>
      <c r="O4" s="276">
        <f>Spiele!AS7</f>
        <v>30</v>
      </c>
      <c r="P4" s="277">
        <f t="shared" si="2"/>
        <v>1.5</v>
      </c>
      <c r="Q4" s="284">
        <f t="shared" si="3"/>
        <v>2.8666666666666667</v>
      </c>
    </row>
    <row r="5" spans="2:19" ht="15.75" x14ac:dyDescent="0.25">
      <c r="B5" s="283">
        <v>3</v>
      </c>
      <c r="C5" s="278"/>
      <c r="D5" s="279" t="s">
        <v>119</v>
      </c>
      <c r="E5" s="280"/>
      <c r="F5" s="30">
        <f>Spiele!AW24</f>
        <v>13</v>
      </c>
      <c r="G5" s="30">
        <f>Spiele!AX24</f>
        <v>2</v>
      </c>
      <c r="H5" s="30">
        <f>Spiele!AY24</f>
        <v>16</v>
      </c>
      <c r="I5" s="275">
        <f t="shared" si="0"/>
        <v>41</v>
      </c>
      <c r="J5" s="275"/>
      <c r="K5" s="30">
        <f>Teamtore!AR8</f>
        <v>83</v>
      </c>
      <c r="L5" s="30">
        <f>Gegentore!AR8</f>
        <v>88</v>
      </c>
      <c r="M5" s="275">
        <f t="shared" si="1"/>
        <v>-5</v>
      </c>
      <c r="N5" s="275"/>
      <c r="O5" s="276">
        <f>Spiele!AS24</f>
        <v>31</v>
      </c>
      <c r="P5" s="277">
        <f t="shared" si="2"/>
        <v>1.55</v>
      </c>
      <c r="Q5" s="284">
        <f t="shared" si="3"/>
        <v>2.8725806451612903</v>
      </c>
    </row>
    <row r="6" spans="2:19" ht="15.75" x14ac:dyDescent="0.25">
      <c r="B6" s="283">
        <v>4</v>
      </c>
      <c r="C6" s="278"/>
      <c r="D6" s="279" t="s">
        <v>14</v>
      </c>
      <c r="E6" s="280"/>
      <c r="F6" s="30">
        <f>Spiele!AW9</f>
        <v>11</v>
      </c>
      <c r="G6" s="30">
        <f>Spiele!AX9</f>
        <v>1</v>
      </c>
      <c r="H6" s="30">
        <f>Spiele!AY9</f>
        <v>9</v>
      </c>
      <c r="I6" s="275">
        <f t="shared" si="0"/>
        <v>34</v>
      </c>
      <c r="J6" s="275"/>
      <c r="K6" s="30">
        <f>Teamtore!AR9</f>
        <v>60</v>
      </c>
      <c r="L6" s="30">
        <f>Gegentore!AR9</f>
        <v>66</v>
      </c>
      <c r="M6" s="275">
        <f t="shared" si="1"/>
        <v>-6</v>
      </c>
      <c r="N6" s="275"/>
      <c r="O6" s="276">
        <f>Spiele!AS9</f>
        <v>21</v>
      </c>
      <c r="P6" s="277">
        <f t="shared" si="2"/>
        <v>1.05</v>
      </c>
      <c r="Q6" s="284">
        <f t="shared" si="3"/>
        <v>2.6690476190476193</v>
      </c>
    </row>
    <row r="7" spans="2:19" ht="15.75" x14ac:dyDescent="0.25">
      <c r="B7" s="283">
        <v>5</v>
      </c>
      <c r="C7" s="278"/>
      <c r="D7" s="279" t="s">
        <v>22</v>
      </c>
      <c r="E7" s="280"/>
      <c r="F7" s="30">
        <f>Spiele!AW10</f>
        <v>16</v>
      </c>
      <c r="G7" s="30">
        <f>Spiele!AX10</f>
        <v>3</v>
      </c>
      <c r="H7" s="30">
        <f>Spiele!AY10</f>
        <v>17</v>
      </c>
      <c r="I7" s="275">
        <f t="shared" si="0"/>
        <v>51</v>
      </c>
      <c r="J7" s="275"/>
      <c r="K7" s="30">
        <f>Teamtore!AR10</f>
        <v>98</v>
      </c>
      <c r="L7" s="30">
        <f>Gegentore!AR10</f>
        <v>103</v>
      </c>
      <c r="M7" s="275">
        <f t="shared" si="1"/>
        <v>-5</v>
      </c>
      <c r="N7" s="275"/>
      <c r="O7" s="276">
        <f>Spiele!AS10</f>
        <v>36</v>
      </c>
      <c r="P7" s="277">
        <f t="shared" si="2"/>
        <v>1.8</v>
      </c>
      <c r="Q7" s="284">
        <f t="shared" si="3"/>
        <v>3.2166666666666668</v>
      </c>
    </row>
    <row r="8" spans="2:19" ht="15.75" x14ac:dyDescent="0.25">
      <c r="B8" s="283">
        <v>6</v>
      </c>
      <c r="C8" s="278"/>
      <c r="D8" s="279" t="s">
        <v>17</v>
      </c>
      <c r="E8" s="280"/>
      <c r="F8" s="30">
        <f>Spiele!AW11</f>
        <v>13</v>
      </c>
      <c r="G8" s="30">
        <f>Spiele!AX11</f>
        <v>3</v>
      </c>
      <c r="H8" s="30">
        <f>Spiele!AY11</f>
        <v>15</v>
      </c>
      <c r="I8" s="275">
        <f t="shared" si="0"/>
        <v>42</v>
      </c>
      <c r="J8" s="275"/>
      <c r="K8" s="30">
        <f>Teamtore!AR11</f>
        <v>76</v>
      </c>
      <c r="L8" s="30">
        <f>Gegentore!AR11</f>
        <v>94</v>
      </c>
      <c r="M8" s="275">
        <f t="shared" si="1"/>
        <v>-18</v>
      </c>
      <c r="N8" s="275"/>
      <c r="O8" s="276">
        <f>Spiele!AS11</f>
        <v>31</v>
      </c>
      <c r="P8" s="277">
        <f t="shared" si="2"/>
        <v>1.55</v>
      </c>
      <c r="Q8" s="284">
        <f t="shared" si="3"/>
        <v>2.9048387096774193</v>
      </c>
    </row>
    <row r="9" spans="2:19" ht="15.75" x14ac:dyDescent="0.25">
      <c r="B9" s="283">
        <v>7</v>
      </c>
      <c r="C9" s="278"/>
      <c r="D9" s="279" t="s">
        <v>21</v>
      </c>
      <c r="E9" s="280"/>
      <c r="F9" s="30">
        <f>Spiele!AW12</f>
        <v>16</v>
      </c>
      <c r="G9" s="30">
        <f>Spiele!AX12</f>
        <v>3</v>
      </c>
      <c r="H9" s="30">
        <f>Spiele!AY12</f>
        <v>14</v>
      </c>
      <c r="I9" s="275">
        <f t="shared" si="0"/>
        <v>51</v>
      </c>
      <c r="J9" s="275"/>
      <c r="K9" s="30">
        <f>Teamtore!AR12</f>
        <v>102</v>
      </c>
      <c r="L9" s="30">
        <f>Gegentore!AR12</f>
        <v>96</v>
      </c>
      <c r="M9" s="275">
        <f t="shared" si="1"/>
        <v>6</v>
      </c>
      <c r="N9" s="275"/>
      <c r="O9" s="276">
        <f>Spiele!AS12</f>
        <v>33</v>
      </c>
      <c r="P9" s="277">
        <f t="shared" si="2"/>
        <v>1.6500000000000001</v>
      </c>
      <c r="Q9" s="284">
        <f t="shared" si="3"/>
        <v>3.1954545454545453</v>
      </c>
    </row>
    <row r="10" spans="2:19" ht="15.75" x14ac:dyDescent="0.25">
      <c r="B10" s="283">
        <v>8</v>
      </c>
      <c r="C10" s="278"/>
      <c r="D10" s="279" t="s">
        <v>26</v>
      </c>
      <c r="E10" s="280"/>
      <c r="F10" s="30">
        <f>Spiele!AW13</f>
        <v>0</v>
      </c>
      <c r="G10" s="30">
        <f>Spiele!AX13</f>
        <v>0</v>
      </c>
      <c r="H10" s="30">
        <f>Spiele!AY13</f>
        <v>0</v>
      </c>
      <c r="I10" s="275">
        <f t="shared" si="0"/>
        <v>0</v>
      </c>
      <c r="J10" s="275"/>
      <c r="K10" s="30">
        <f>Teamtore!AR13</f>
        <v>0</v>
      </c>
      <c r="L10" s="30">
        <f>Gegentore!AR13</f>
        <v>0</v>
      </c>
      <c r="M10" s="275">
        <f t="shared" si="1"/>
        <v>0</v>
      </c>
      <c r="N10" s="275"/>
      <c r="O10" s="276">
        <f>Spiele!AS13</f>
        <v>0</v>
      </c>
      <c r="P10" s="277">
        <f t="shared" si="2"/>
        <v>0</v>
      </c>
      <c r="Q10" s="284" t="e">
        <f t="shared" si="3"/>
        <v>#DIV/0!</v>
      </c>
    </row>
    <row r="11" spans="2:19" ht="15.75" x14ac:dyDescent="0.25">
      <c r="B11" s="283">
        <v>9</v>
      </c>
      <c r="C11" s="278"/>
      <c r="D11" s="279" t="s">
        <v>18</v>
      </c>
      <c r="E11" s="280"/>
      <c r="F11" s="30">
        <f>Spiele!AW14</f>
        <v>0</v>
      </c>
      <c r="G11" s="30">
        <f>Spiele!AX14</f>
        <v>0</v>
      </c>
      <c r="H11" s="30">
        <f>Spiele!AY14</f>
        <v>0</v>
      </c>
      <c r="I11" s="275">
        <f t="shared" si="0"/>
        <v>0</v>
      </c>
      <c r="J11" s="275"/>
      <c r="K11" s="30">
        <f>Teamtore!AR14</f>
        <v>0</v>
      </c>
      <c r="L11" s="30">
        <f>Gegentore!AR14</f>
        <v>0</v>
      </c>
      <c r="M11" s="275">
        <f t="shared" si="1"/>
        <v>0</v>
      </c>
      <c r="N11" s="275"/>
      <c r="O11" s="276">
        <f>Spiele!AS14</f>
        <v>0</v>
      </c>
      <c r="P11" s="277">
        <f t="shared" si="2"/>
        <v>0</v>
      </c>
      <c r="Q11" s="284" t="e">
        <f t="shared" si="3"/>
        <v>#DIV/0!</v>
      </c>
    </row>
    <row r="12" spans="2:19" ht="15.75" x14ac:dyDescent="0.25">
      <c r="B12" s="283">
        <v>10</v>
      </c>
      <c r="C12" s="278"/>
      <c r="D12" s="279" t="s">
        <v>16</v>
      </c>
      <c r="E12" s="280"/>
      <c r="F12" s="30">
        <f>Spiele!AW15</f>
        <v>8</v>
      </c>
      <c r="G12" s="30">
        <f>Spiele!AX15</f>
        <v>0</v>
      </c>
      <c r="H12" s="30">
        <f>Spiele!AY15</f>
        <v>13</v>
      </c>
      <c r="I12" s="275">
        <f t="shared" si="0"/>
        <v>24</v>
      </c>
      <c r="J12" s="275"/>
      <c r="K12" s="30">
        <f>Teamtore!AR15</f>
        <v>49</v>
      </c>
      <c r="L12" s="30">
        <f>Gegentore!AR15</f>
        <v>59</v>
      </c>
      <c r="M12" s="275">
        <f t="shared" si="1"/>
        <v>-10</v>
      </c>
      <c r="N12" s="275"/>
      <c r="O12" s="276">
        <f>Spiele!AS15</f>
        <v>21</v>
      </c>
      <c r="P12" s="277">
        <f t="shared" si="2"/>
        <v>1.05</v>
      </c>
      <c r="Q12" s="284">
        <f t="shared" si="3"/>
        <v>2.1928571428571431</v>
      </c>
    </row>
    <row r="13" spans="2:19" ht="15.75" x14ac:dyDescent="0.25">
      <c r="B13" s="283">
        <v>11</v>
      </c>
      <c r="C13" s="278"/>
      <c r="D13" s="279" t="s">
        <v>13</v>
      </c>
      <c r="E13" s="280"/>
      <c r="F13" s="30">
        <f>Spiele!AW16</f>
        <v>20</v>
      </c>
      <c r="G13" s="30">
        <f>Spiele!AX16</f>
        <v>2</v>
      </c>
      <c r="H13" s="30">
        <f>Spiele!AY16</f>
        <v>15</v>
      </c>
      <c r="I13" s="275">
        <f t="shared" si="0"/>
        <v>62</v>
      </c>
      <c r="J13" s="275"/>
      <c r="K13" s="30">
        <f>Teamtore!AR16</f>
        <v>117</v>
      </c>
      <c r="L13" s="30">
        <f>Gegentore!AR16</f>
        <v>100</v>
      </c>
      <c r="M13" s="275">
        <f t="shared" si="1"/>
        <v>17</v>
      </c>
      <c r="N13" s="275"/>
      <c r="O13" s="276">
        <f>Spiele!AS16</f>
        <v>37</v>
      </c>
      <c r="P13" s="277">
        <f t="shared" si="2"/>
        <v>1.85</v>
      </c>
      <c r="Q13" s="284">
        <f t="shared" si="3"/>
        <v>3.525675675675676</v>
      </c>
    </row>
    <row r="14" spans="2:19" ht="15.75" x14ac:dyDescent="0.25">
      <c r="B14" s="283">
        <v>12</v>
      </c>
      <c r="C14" s="278"/>
      <c r="D14" s="279" t="s">
        <v>15</v>
      </c>
      <c r="E14" s="280"/>
      <c r="F14" s="30">
        <f>Spiele!AW17</f>
        <v>13</v>
      </c>
      <c r="G14" s="30">
        <f>Spiele!AX17</f>
        <v>3</v>
      </c>
      <c r="H14" s="30">
        <f>Spiele!AY17</f>
        <v>13</v>
      </c>
      <c r="I14" s="275">
        <f t="shared" si="0"/>
        <v>42</v>
      </c>
      <c r="J14" s="275"/>
      <c r="K14" s="30">
        <f>Teamtore!AR17</f>
        <v>72</v>
      </c>
      <c r="L14" s="30">
        <f>Gegentore!AR17</f>
        <v>72</v>
      </c>
      <c r="M14" s="275">
        <f t="shared" si="1"/>
        <v>0</v>
      </c>
      <c r="N14" s="275"/>
      <c r="O14" s="276">
        <f>Spiele!AS17</f>
        <v>29</v>
      </c>
      <c r="P14" s="277">
        <f t="shared" si="2"/>
        <v>1.4500000000000002</v>
      </c>
      <c r="Q14" s="284">
        <f t="shared" si="3"/>
        <v>2.8982758620689655</v>
      </c>
    </row>
    <row r="15" spans="2:19" ht="15.75" x14ac:dyDescent="0.25">
      <c r="B15" s="283">
        <v>13</v>
      </c>
      <c r="C15" s="278"/>
      <c r="D15" s="279" t="s">
        <v>56</v>
      </c>
      <c r="E15" s="280"/>
      <c r="F15" s="30">
        <f>Spiele!AW23</f>
        <v>8</v>
      </c>
      <c r="G15" s="30">
        <f>Spiele!AX23</f>
        <v>3</v>
      </c>
      <c r="H15" s="30">
        <f>Spiele!AY23</f>
        <v>5</v>
      </c>
      <c r="I15" s="275">
        <f t="shared" si="0"/>
        <v>27</v>
      </c>
      <c r="J15" s="275"/>
      <c r="K15" s="30">
        <f>Teamtore!AR23</f>
        <v>44</v>
      </c>
      <c r="L15" s="30">
        <f>Gegentore!AR23</f>
        <v>36</v>
      </c>
      <c r="M15" s="275">
        <f t="shared" si="1"/>
        <v>8</v>
      </c>
      <c r="N15" s="275"/>
      <c r="O15" s="276">
        <f>Spiele!AS23</f>
        <v>16</v>
      </c>
      <c r="P15" s="277">
        <f t="shared" si="2"/>
        <v>0.8</v>
      </c>
      <c r="Q15" s="284">
        <f t="shared" si="3"/>
        <v>2.4874999999999998</v>
      </c>
    </row>
    <row r="16" spans="2:19" ht="15.75" x14ac:dyDescent="0.25">
      <c r="B16" s="283">
        <v>14</v>
      </c>
      <c r="C16" s="278"/>
      <c r="D16" s="279" t="s">
        <v>12</v>
      </c>
      <c r="E16" s="280"/>
      <c r="F16" s="30">
        <f>Spiele!AW18</f>
        <v>0</v>
      </c>
      <c r="G16" s="30">
        <f>Spiele!AX18</f>
        <v>0</v>
      </c>
      <c r="H16" s="30">
        <f>Spiele!AY18</f>
        <v>0</v>
      </c>
      <c r="I16" s="275">
        <f t="shared" si="0"/>
        <v>0</v>
      </c>
      <c r="J16" s="275"/>
      <c r="K16" s="30">
        <f>Teamtore!AR18</f>
        <v>0</v>
      </c>
      <c r="L16" s="30">
        <f>Gegentore!AR18</f>
        <v>0</v>
      </c>
      <c r="M16" s="275">
        <f t="shared" si="1"/>
        <v>0</v>
      </c>
      <c r="N16" s="275"/>
      <c r="O16" s="276">
        <f>Spiele!AS18</f>
        <v>0</v>
      </c>
      <c r="P16" s="277">
        <f t="shared" si="2"/>
        <v>0</v>
      </c>
      <c r="Q16" s="284" t="e">
        <f t="shared" si="3"/>
        <v>#DIV/0!</v>
      </c>
    </row>
    <row r="17" spans="2:17" ht="15.75" x14ac:dyDescent="0.25">
      <c r="B17" s="283">
        <v>15</v>
      </c>
      <c r="C17" s="278"/>
      <c r="D17" s="282" t="s">
        <v>27</v>
      </c>
      <c r="E17" s="280"/>
      <c r="F17" s="30">
        <f>Spiele!AW19</f>
        <v>10</v>
      </c>
      <c r="G17" s="30">
        <f>Spiele!AX19</f>
        <v>2</v>
      </c>
      <c r="H17" s="30">
        <f>Spiele!AY19</f>
        <v>10</v>
      </c>
      <c r="I17" s="275">
        <f t="shared" si="0"/>
        <v>32</v>
      </c>
      <c r="J17" s="275"/>
      <c r="K17" s="30">
        <f>Teamtore!AR19</f>
        <v>56</v>
      </c>
      <c r="L17" s="30">
        <f>Gegentore!AR19</f>
        <v>61</v>
      </c>
      <c r="M17" s="275">
        <f t="shared" si="1"/>
        <v>-5</v>
      </c>
      <c r="N17" s="275"/>
      <c r="O17" s="276">
        <f>Spiele!AS19</f>
        <v>22</v>
      </c>
      <c r="P17" s="277">
        <f t="shared" si="2"/>
        <v>1.1000000000000001</v>
      </c>
      <c r="Q17" s="284">
        <f t="shared" si="3"/>
        <v>2.5545454545454547</v>
      </c>
    </row>
    <row r="18" spans="2:17" ht="15.75" x14ac:dyDescent="0.25">
      <c r="B18" s="283">
        <v>16</v>
      </c>
      <c r="C18" s="278"/>
      <c r="D18" s="279" t="s">
        <v>24</v>
      </c>
      <c r="E18" s="280"/>
      <c r="F18" s="30">
        <f>Spiele!AW20</f>
        <v>0</v>
      </c>
      <c r="G18" s="30">
        <f>Spiele!AX20</f>
        <v>0</v>
      </c>
      <c r="H18" s="30">
        <f>Spiele!AY20</f>
        <v>0</v>
      </c>
      <c r="I18" s="275">
        <f t="shared" si="0"/>
        <v>0</v>
      </c>
      <c r="J18" s="275"/>
      <c r="K18" s="30">
        <f>Teamtore!AR20</f>
        <v>0</v>
      </c>
      <c r="L18" s="30">
        <f>Gegentore!AR20</f>
        <v>0</v>
      </c>
      <c r="M18" s="275">
        <f t="shared" si="1"/>
        <v>0</v>
      </c>
      <c r="N18" s="275"/>
      <c r="O18" s="276">
        <f>Spiele!AS20</f>
        <v>0</v>
      </c>
      <c r="P18" s="277">
        <f t="shared" si="2"/>
        <v>0</v>
      </c>
      <c r="Q18" s="284" t="e">
        <f t="shared" si="3"/>
        <v>#DIV/0!</v>
      </c>
    </row>
    <row r="19" spans="2:17" ht="15.75" x14ac:dyDescent="0.25">
      <c r="B19" s="283">
        <v>17</v>
      </c>
      <c r="C19" s="278"/>
      <c r="D19" s="279" t="s">
        <v>28</v>
      </c>
      <c r="E19" s="280"/>
      <c r="F19" s="30">
        <f>Spiele!AW21</f>
        <v>18</v>
      </c>
      <c r="G19" s="30">
        <f>Spiele!AX21</f>
        <v>3</v>
      </c>
      <c r="H19" s="30">
        <f>Spiele!AY21</f>
        <v>13</v>
      </c>
      <c r="I19" s="275">
        <f t="shared" si="0"/>
        <v>57</v>
      </c>
      <c r="J19" s="275"/>
      <c r="K19" s="30">
        <f>Teamtore!AR21</f>
        <v>104</v>
      </c>
      <c r="L19" s="30">
        <f>Gegentore!AR21</f>
        <v>95</v>
      </c>
      <c r="M19" s="275">
        <f t="shared" si="1"/>
        <v>9</v>
      </c>
      <c r="N19" s="275"/>
      <c r="O19" s="276">
        <f>Spiele!AS21</f>
        <v>34</v>
      </c>
      <c r="P19" s="277">
        <f t="shared" si="2"/>
        <v>1.7000000000000002</v>
      </c>
      <c r="Q19" s="284">
        <f t="shared" si="3"/>
        <v>3.3764705882352946</v>
      </c>
    </row>
    <row r="20" spans="2:17" ht="15.75" x14ac:dyDescent="0.25">
      <c r="B20" s="283">
        <v>18</v>
      </c>
      <c r="C20" s="278"/>
      <c r="D20" s="279" t="s">
        <v>19</v>
      </c>
      <c r="E20" s="280"/>
      <c r="F20" s="30">
        <f>Spiele!AW22</f>
        <v>5</v>
      </c>
      <c r="G20" s="30">
        <f>Spiele!AX22</f>
        <v>2</v>
      </c>
      <c r="H20" s="30">
        <f>Spiele!AY22</f>
        <v>6</v>
      </c>
      <c r="I20" s="275">
        <f t="shared" si="0"/>
        <v>17</v>
      </c>
      <c r="J20" s="275"/>
      <c r="K20" s="30">
        <f>Teamtore!AR22</f>
        <v>33</v>
      </c>
      <c r="L20" s="30">
        <f>Gegentore!AR22</f>
        <v>30</v>
      </c>
      <c r="M20" s="275">
        <f t="shared" si="1"/>
        <v>3</v>
      </c>
      <c r="N20" s="275"/>
      <c r="O20" s="276">
        <f>Spiele!AS22</f>
        <v>13</v>
      </c>
      <c r="P20" s="277">
        <f t="shared" si="2"/>
        <v>0.65</v>
      </c>
      <c r="Q20" s="284">
        <f t="shared" si="3"/>
        <v>1.9576923076923078</v>
      </c>
    </row>
    <row r="21" spans="2:17" ht="15.75" x14ac:dyDescent="0.25">
      <c r="B21" s="283">
        <v>19</v>
      </c>
      <c r="C21" s="278"/>
      <c r="D21" s="279" t="s">
        <v>122</v>
      </c>
      <c r="E21" s="280"/>
      <c r="F21" s="30">
        <f>Spiele!AW25</f>
        <v>10</v>
      </c>
      <c r="G21" s="30">
        <f>Spiele!AX25</f>
        <v>2</v>
      </c>
      <c r="H21" s="30">
        <f>Spiele!AY25</f>
        <v>13</v>
      </c>
      <c r="I21" s="275">
        <f>F21*3+G21</f>
        <v>32</v>
      </c>
      <c r="J21" s="275"/>
      <c r="K21" s="30">
        <f>Teamtore!AR23</f>
        <v>44</v>
      </c>
      <c r="L21" s="30">
        <f>Gegentore!AR23</f>
        <v>36</v>
      </c>
      <c r="M21" s="275">
        <f t="shared" ref="M21:M22" si="4">K21-L21</f>
        <v>8</v>
      </c>
      <c r="N21" s="275"/>
      <c r="O21" s="276">
        <f>Spiele!AS25</f>
        <v>25</v>
      </c>
      <c r="P21" s="277">
        <f t="shared" ref="P21:P22" si="5">O21*0.05</f>
        <v>1.25</v>
      </c>
      <c r="Q21" s="284">
        <f t="shared" ref="Q21:Q22" si="6">(I21/O21)+P21</f>
        <v>2.5300000000000002</v>
      </c>
    </row>
    <row r="22" spans="2:17" ht="16.5" thickBot="1" x14ac:dyDescent="0.3">
      <c r="B22" s="285">
        <v>20</v>
      </c>
      <c r="C22" s="286"/>
      <c r="D22" s="287" t="s">
        <v>123</v>
      </c>
      <c r="E22" s="288"/>
      <c r="F22" s="289">
        <f>Spiele!AW26</f>
        <v>14</v>
      </c>
      <c r="G22" s="289">
        <f>Spiele!AX24</f>
        <v>2</v>
      </c>
      <c r="H22" s="289">
        <f>Spiele!AY26</f>
        <v>7</v>
      </c>
      <c r="I22" s="290">
        <f t="shared" ref="I22" si="7">F22*3+G22</f>
        <v>44</v>
      </c>
      <c r="J22" s="290"/>
      <c r="K22" s="289">
        <f>Teamtore!AR24</f>
        <v>65</v>
      </c>
      <c r="L22" s="289">
        <f>Gegentore!AR24</f>
        <v>64</v>
      </c>
      <c r="M22" s="290">
        <f t="shared" si="4"/>
        <v>1</v>
      </c>
      <c r="N22" s="290"/>
      <c r="O22" s="291">
        <f>Spiele!AS26</f>
        <v>23</v>
      </c>
      <c r="P22" s="292">
        <f t="shared" si="5"/>
        <v>1.1500000000000001</v>
      </c>
      <c r="Q22" s="293">
        <f t="shared" si="6"/>
        <v>3.0630434782608695</v>
      </c>
    </row>
  </sheetData>
  <sortState xmlns:xlrd2="http://schemas.microsoft.com/office/spreadsheetml/2017/richdata2" ref="D3:Q20">
    <sortCondition ref="D3"/>
  </sortState>
  <pageMargins left="0.7" right="0.7" top="0.78740157499999996" bottom="0.78740157499999996" header="0.3" footer="0.3"/>
  <pageSetup paperSize="8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22"/>
  <sheetViews>
    <sheetView zoomScale="80" zoomScaleNormal="80" workbookViewId="0">
      <selection activeCell="K315" sqref="K315"/>
    </sheetView>
  </sheetViews>
  <sheetFormatPr defaultColWidth="11.42578125" defaultRowHeight="15" x14ac:dyDescent="0.25"/>
  <cols>
    <col min="1" max="1" width="6.5703125" customWidth="1"/>
  </cols>
  <sheetData>
    <row r="1" spans="2:11" ht="15.75" thickBot="1" x14ac:dyDescent="0.3">
      <c r="B1" s="61"/>
      <c r="C1" s="316">
        <v>1</v>
      </c>
      <c r="D1" s="316"/>
      <c r="E1" s="316"/>
      <c r="I1" s="316">
        <v>2</v>
      </c>
      <c r="J1" s="316"/>
      <c r="K1" s="316"/>
    </row>
    <row r="2" spans="2:11" ht="15.75" thickBot="1" x14ac:dyDescent="0.3">
      <c r="B2" s="33" t="s">
        <v>32</v>
      </c>
      <c r="C2" s="34"/>
      <c r="D2" s="60" t="s">
        <v>33</v>
      </c>
      <c r="E2" s="35"/>
      <c r="H2" s="56" t="s">
        <v>32</v>
      </c>
      <c r="I2" s="57"/>
      <c r="J2" s="58" t="s">
        <v>33</v>
      </c>
      <c r="K2" s="59"/>
    </row>
    <row r="3" spans="2:11" ht="15.75" thickBot="1" x14ac:dyDescent="0.3">
      <c r="B3" s="36">
        <f>Spiele!D5</f>
        <v>45538</v>
      </c>
      <c r="C3" s="37"/>
      <c r="D3" s="38"/>
      <c r="E3" s="39"/>
      <c r="H3" s="36">
        <f>Spiele!E5</f>
        <v>45545</v>
      </c>
      <c r="I3" s="37"/>
      <c r="J3" s="38"/>
      <c r="K3" s="39"/>
    </row>
    <row r="4" spans="2:11" x14ac:dyDescent="0.25">
      <c r="B4" s="9"/>
      <c r="C4" s="40" t="s">
        <v>119</v>
      </c>
      <c r="D4" s="41"/>
      <c r="E4" s="42" t="s">
        <v>14</v>
      </c>
      <c r="H4" s="9"/>
      <c r="I4" s="40" t="s">
        <v>25</v>
      </c>
      <c r="J4" s="41"/>
      <c r="K4" s="42" t="s">
        <v>119</v>
      </c>
    </row>
    <row r="5" spans="2:11" x14ac:dyDescent="0.25">
      <c r="B5" s="9"/>
      <c r="C5" s="40" t="s">
        <v>25</v>
      </c>
      <c r="D5" s="43"/>
      <c r="E5" s="42" t="s">
        <v>22</v>
      </c>
      <c r="H5" s="9"/>
      <c r="I5" s="40" t="s">
        <v>22</v>
      </c>
      <c r="J5" s="41"/>
      <c r="K5" s="42" t="s">
        <v>13</v>
      </c>
    </row>
    <row r="6" spans="2:11" x14ac:dyDescent="0.25">
      <c r="B6" s="9"/>
      <c r="C6" s="40" t="s">
        <v>17</v>
      </c>
      <c r="D6" s="41" t="s">
        <v>34</v>
      </c>
      <c r="E6" s="42" t="s">
        <v>13</v>
      </c>
      <c r="H6" s="9"/>
      <c r="I6" s="40" t="s">
        <v>17</v>
      </c>
      <c r="J6" s="41" t="s">
        <v>34</v>
      </c>
      <c r="K6" s="42" t="s">
        <v>56</v>
      </c>
    </row>
    <row r="7" spans="2:11" x14ac:dyDescent="0.25">
      <c r="B7" s="9"/>
      <c r="C7" s="40" t="s">
        <v>21</v>
      </c>
      <c r="D7" s="41"/>
      <c r="E7" s="42" t="s">
        <v>56</v>
      </c>
      <c r="H7" s="9"/>
      <c r="I7" s="40" t="s">
        <v>15</v>
      </c>
      <c r="J7" s="41"/>
      <c r="K7" s="42" t="s">
        <v>28</v>
      </c>
    </row>
    <row r="8" spans="2:11" x14ac:dyDescent="0.25">
      <c r="B8" s="9"/>
      <c r="C8" s="40" t="s">
        <v>15</v>
      </c>
      <c r="D8" s="41"/>
      <c r="E8" s="42" t="s">
        <v>28</v>
      </c>
      <c r="H8" s="9"/>
      <c r="I8" s="40" t="s">
        <v>27</v>
      </c>
      <c r="J8" s="41"/>
      <c r="K8" s="42" t="s">
        <v>19</v>
      </c>
    </row>
    <row r="9" spans="2:11" ht="15.75" thickBot="1" x14ac:dyDescent="0.3">
      <c r="B9" s="9"/>
      <c r="C9" s="44"/>
      <c r="D9" s="45"/>
      <c r="E9" s="46" t="s">
        <v>19</v>
      </c>
      <c r="H9" s="9"/>
      <c r="I9" s="44"/>
      <c r="J9" s="45"/>
      <c r="K9" s="46"/>
    </row>
    <row r="10" spans="2:11" ht="15.75" thickBot="1" x14ac:dyDescent="0.3">
      <c r="B10" s="9"/>
      <c r="C10" s="9"/>
      <c r="D10" s="9"/>
      <c r="E10" s="9"/>
      <c r="H10" s="9"/>
      <c r="I10" s="9"/>
      <c r="J10" s="9"/>
      <c r="K10" s="9"/>
    </row>
    <row r="11" spans="2:11" ht="15.75" thickBot="1" x14ac:dyDescent="0.3">
      <c r="B11" s="9"/>
      <c r="C11" s="47"/>
      <c r="D11" s="48" t="s">
        <v>35</v>
      </c>
      <c r="E11" s="49"/>
      <c r="H11" s="9"/>
      <c r="I11" s="47"/>
      <c r="J11" s="48" t="s">
        <v>35</v>
      </c>
      <c r="K11" s="49"/>
    </row>
    <row r="12" spans="2:11" x14ac:dyDescent="0.25">
      <c r="B12" s="9"/>
      <c r="C12" s="40"/>
      <c r="D12" s="41"/>
      <c r="E12" s="42"/>
      <c r="H12" s="9"/>
      <c r="I12" s="40"/>
      <c r="J12" s="41"/>
      <c r="K12" s="42"/>
    </row>
    <row r="13" spans="2:11" x14ac:dyDescent="0.25">
      <c r="B13" s="9"/>
      <c r="C13" s="50">
        <v>2</v>
      </c>
      <c r="D13" s="51" t="s">
        <v>36</v>
      </c>
      <c r="E13" s="52">
        <v>2</v>
      </c>
      <c r="H13" s="9"/>
      <c r="I13" s="50">
        <v>1</v>
      </c>
      <c r="J13" s="51" t="s">
        <v>36</v>
      </c>
      <c r="K13" s="52">
        <v>0</v>
      </c>
    </row>
    <row r="14" spans="2:11" ht="15.75" thickBot="1" x14ac:dyDescent="0.3">
      <c r="C14" s="53"/>
      <c r="D14" s="54"/>
      <c r="E14" s="55"/>
      <c r="I14" s="53"/>
      <c r="J14" s="54"/>
      <c r="K14" s="55"/>
    </row>
    <row r="15" spans="2:11" ht="15.75" thickBot="1" x14ac:dyDescent="0.3"/>
    <row r="16" spans="2:11" ht="15.75" thickBot="1" x14ac:dyDescent="0.3">
      <c r="C16" s="62" t="str">
        <f>IF(C13&gt;E13,"3",IF(C13=E13,"1","0"))</f>
        <v>1</v>
      </c>
      <c r="D16" s="64" t="s">
        <v>0</v>
      </c>
      <c r="E16" s="64" t="str">
        <f>IF(E13&gt;C13,"3",IF(E13=C13,"1","0"))</f>
        <v>1</v>
      </c>
      <c r="I16" s="62" t="str">
        <f>IF(I13&gt;K13,"3",IF(I13=K13,"1","0"))</f>
        <v>3</v>
      </c>
      <c r="J16" s="64" t="s">
        <v>0</v>
      </c>
      <c r="K16" s="64" t="str">
        <f>IF(K13&gt;I13,"3",IF(K13=I13,"1","0"))</f>
        <v>0</v>
      </c>
    </row>
    <row r="17" spans="2:11" ht="15.75" thickBot="1" x14ac:dyDescent="0.3"/>
    <row r="18" spans="2:11" ht="15.75" thickBot="1" x14ac:dyDescent="0.3">
      <c r="B18" s="33" t="s">
        <v>32</v>
      </c>
      <c r="C18" s="34"/>
      <c r="D18" s="60" t="s">
        <v>33</v>
      </c>
      <c r="E18" s="35"/>
      <c r="H18" s="33" t="s">
        <v>32</v>
      </c>
      <c r="I18" s="34"/>
      <c r="J18" s="60" t="s">
        <v>33</v>
      </c>
      <c r="K18" s="35"/>
    </row>
    <row r="19" spans="2:11" ht="15.75" thickBot="1" x14ac:dyDescent="0.3">
      <c r="B19" s="36">
        <f>Spiele!F5</f>
        <v>45552</v>
      </c>
      <c r="C19" s="37"/>
      <c r="D19" s="38"/>
      <c r="E19" s="39"/>
      <c r="H19" s="36">
        <f>Spiele!G5</f>
        <v>45559</v>
      </c>
      <c r="I19" s="37"/>
      <c r="J19" s="38"/>
      <c r="K19" s="39"/>
    </row>
    <row r="20" spans="2:11" x14ac:dyDescent="0.25">
      <c r="B20" s="9"/>
      <c r="C20" s="40" t="s">
        <v>119</v>
      </c>
      <c r="D20" s="41"/>
      <c r="E20" s="42" t="s">
        <v>25</v>
      </c>
      <c r="H20" s="9"/>
      <c r="I20" s="40" t="s">
        <v>22</v>
      </c>
      <c r="J20" s="41"/>
      <c r="K20" s="42" t="s">
        <v>119</v>
      </c>
    </row>
    <row r="21" spans="2:11" x14ac:dyDescent="0.25">
      <c r="B21" s="9"/>
      <c r="C21" s="40" t="s">
        <v>13</v>
      </c>
      <c r="D21" s="43"/>
      <c r="E21" s="42" t="s">
        <v>15</v>
      </c>
      <c r="H21" s="9"/>
      <c r="I21" s="40" t="s">
        <v>13</v>
      </c>
      <c r="J21" s="43"/>
      <c r="K21" s="42" t="s">
        <v>25</v>
      </c>
    </row>
    <row r="22" spans="2:11" x14ac:dyDescent="0.25">
      <c r="B22" s="9"/>
      <c r="C22" s="40" t="s">
        <v>56</v>
      </c>
      <c r="D22" s="41" t="s">
        <v>34</v>
      </c>
      <c r="E22" s="42" t="s">
        <v>122</v>
      </c>
      <c r="H22" s="41"/>
      <c r="I22" s="40" t="s">
        <v>122</v>
      </c>
      <c r="J22" s="41" t="s">
        <v>34</v>
      </c>
      <c r="K22" s="42" t="s">
        <v>15</v>
      </c>
    </row>
    <row r="23" spans="2:11" x14ac:dyDescent="0.25">
      <c r="B23" s="9"/>
      <c r="C23" s="40" t="s">
        <v>28</v>
      </c>
      <c r="D23" s="41"/>
      <c r="E23" s="42" t="s">
        <v>123</v>
      </c>
      <c r="H23" s="9"/>
      <c r="I23" s="40" t="s">
        <v>56</v>
      </c>
      <c r="J23" s="41"/>
      <c r="K23" s="42" t="s">
        <v>123</v>
      </c>
    </row>
    <row r="24" spans="2:11" x14ac:dyDescent="0.25">
      <c r="B24" s="9"/>
      <c r="C24" s="40" t="s">
        <v>19</v>
      </c>
      <c r="D24" s="41"/>
      <c r="E24" s="42"/>
      <c r="H24" s="41"/>
      <c r="I24" s="40" t="s">
        <v>28</v>
      </c>
      <c r="J24" s="41"/>
      <c r="K24" s="42"/>
    </row>
    <row r="25" spans="2:11" ht="15.75" thickBot="1" x14ac:dyDescent="0.3">
      <c r="B25" s="9"/>
      <c r="C25" s="44"/>
      <c r="D25" s="45"/>
      <c r="E25" s="46"/>
      <c r="H25" s="9"/>
      <c r="I25" s="44"/>
      <c r="J25" s="45"/>
      <c r="K25" s="46"/>
    </row>
    <row r="26" spans="2:11" ht="15.75" thickBot="1" x14ac:dyDescent="0.3">
      <c r="B26" s="9"/>
      <c r="C26" s="9"/>
      <c r="D26" s="9"/>
      <c r="E26" s="9"/>
      <c r="H26" s="9"/>
      <c r="I26" s="9"/>
      <c r="J26" s="9"/>
      <c r="K26" s="9"/>
    </row>
    <row r="27" spans="2:11" ht="15.75" thickBot="1" x14ac:dyDescent="0.3">
      <c r="B27" s="9"/>
      <c r="C27" s="47"/>
      <c r="D27" s="48" t="s">
        <v>35</v>
      </c>
      <c r="E27" s="49"/>
      <c r="H27" s="9"/>
      <c r="I27" s="47"/>
      <c r="J27" s="48" t="s">
        <v>35</v>
      </c>
      <c r="K27" s="49"/>
    </row>
    <row r="28" spans="2:11" x14ac:dyDescent="0.25">
      <c r="B28" s="9"/>
      <c r="C28" s="40"/>
      <c r="D28" s="41"/>
      <c r="E28" s="42"/>
      <c r="H28" s="9"/>
      <c r="I28" s="40"/>
      <c r="J28" s="41"/>
      <c r="K28" s="42"/>
    </row>
    <row r="29" spans="2:11" x14ac:dyDescent="0.25">
      <c r="B29" s="9"/>
      <c r="C29" s="50">
        <v>6</v>
      </c>
      <c r="D29" s="51" t="s">
        <v>36</v>
      </c>
      <c r="E29" s="52">
        <v>4</v>
      </c>
      <c r="H29" s="9"/>
      <c r="I29" s="50">
        <v>3</v>
      </c>
      <c r="J29" s="51" t="s">
        <v>36</v>
      </c>
      <c r="K29" s="52">
        <v>2</v>
      </c>
    </row>
    <row r="30" spans="2:11" ht="15.75" thickBot="1" x14ac:dyDescent="0.3">
      <c r="C30" s="53"/>
      <c r="D30" s="54"/>
      <c r="E30" s="55"/>
      <c r="I30" s="53"/>
      <c r="J30" s="54"/>
      <c r="K30" s="55"/>
    </row>
    <row r="31" spans="2:11" ht="15.75" thickBot="1" x14ac:dyDescent="0.3"/>
    <row r="32" spans="2:11" ht="15.75" thickBot="1" x14ac:dyDescent="0.3">
      <c r="C32" s="62" t="str">
        <f>IF(C29&gt;E29,"3",IF(C29=E29,"1","0"))</f>
        <v>3</v>
      </c>
      <c r="D32" s="64" t="s">
        <v>0</v>
      </c>
      <c r="E32" s="63" t="str">
        <f>IF(E29&gt;C29,"3",IF(E29=C29,"1","0"))</f>
        <v>0</v>
      </c>
      <c r="I32" s="62" t="str">
        <f>IF(I29&gt;K29,"3",IF(I29=K29,"1","0"))</f>
        <v>3</v>
      </c>
      <c r="J32" s="64" t="s">
        <v>0</v>
      </c>
      <c r="K32" s="63" t="str">
        <f>IF(K29&gt;I29,"3",IF(K29=I29,"1","0"))</f>
        <v>0</v>
      </c>
    </row>
    <row r="33" spans="2:15" ht="15.75" thickBot="1" x14ac:dyDescent="0.3"/>
    <row r="34" spans="2:15" ht="15.75" thickBot="1" x14ac:dyDescent="0.3">
      <c r="B34" s="33" t="s">
        <v>32</v>
      </c>
      <c r="C34" s="34"/>
      <c r="D34" s="60" t="s">
        <v>33</v>
      </c>
      <c r="E34" s="35"/>
      <c r="H34" s="33" t="s">
        <v>32</v>
      </c>
      <c r="I34" s="34"/>
      <c r="J34" s="60" t="s">
        <v>33</v>
      </c>
      <c r="K34" s="35"/>
    </row>
    <row r="35" spans="2:15" ht="15.75" thickBot="1" x14ac:dyDescent="0.3">
      <c r="B35" s="36">
        <f>Spiele!H5</f>
        <v>45566</v>
      </c>
      <c r="C35" s="37"/>
      <c r="D35" s="38"/>
      <c r="E35" s="39"/>
      <c r="H35" s="36">
        <f>Spiele!I5</f>
        <v>45573</v>
      </c>
      <c r="I35" s="37"/>
      <c r="J35" s="38"/>
      <c r="K35" s="39"/>
    </row>
    <row r="36" spans="2:15" x14ac:dyDescent="0.25">
      <c r="B36" s="9"/>
      <c r="C36" s="40" t="s">
        <v>21</v>
      </c>
      <c r="D36" s="41"/>
      <c r="E36" s="42" t="s">
        <v>119</v>
      </c>
      <c r="H36" s="9"/>
      <c r="I36" s="40" t="s">
        <v>22</v>
      </c>
      <c r="J36" s="41"/>
      <c r="K36" s="42" t="s">
        <v>17</v>
      </c>
    </row>
    <row r="37" spans="2:15" x14ac:dyDescent="0.25">
      <c r="B37" s="9"/>
      <c r="C37" s="40" t="s">
        <v>13</v>
      </c>
      <c r="D37" s="43"/>
      <c r="E37" s="42" t="s">
        <v>25</v>
      </c>
      <c r="H37" s="9"/>
      <c r="I37" s="40" t="s">
        <v>13</v>
      </c>
      <c r="J37" s="43"/>
      <c r="K37" s="42" t="s">
        <v>21</v>
      </c>
    </row>
    <row r="38" spans="2:15" x14ac:dyDescent="0.25">
      <c r="B38" s="9"/>
      <c r="C38" s="40" t="s">
        <v>122</v>
      </c>
      <c r="D38" s="41" t="s">
        <v>34</v>
      </c>
      <c r="E38" s="42" t="s">
        <v>22</v>
      </c>
      <c r="H38" s="9"/>
      <c r="I38" s="40" t="s">
        <v>122</v>
      </c>
      <c r="J38" s="41" t="s">
        <v>34</v>
      </c>
      <c r="K38" s="42" t="s">
        <v>15</v>
      </c>
    </row>
    <row r="39" spans="2:15" x14ac:dyDescent="0.25">
      <c r="B39" s="9"/>
      <c r="C39" s="40" t="s">
        <v>123</v>
      </c>
      <c r="D39" s="41"/>
      <c r="E39" s="42" t="s">
        <v>17</v>
      </c>
      <c r="H39" s="9"/>
      <c r="I39" s="40" t="s">
        <v>56</v>
      </c>
      <c r="J39" s="41"/>
      <c r="K39" s="42" t="s">
        <v>123</v>
      </c>
    </row>
    <row r="40" spans="2:15" x14ac:dyDescent="0.25">
      <c r="B40" s="9"/>
      <c r="C40" s="40" t="s">
        <v>28</v>
      </c>
      <c r="D40" s="41"/>
      <c r="E40" s="42" t="s">
        <v>27</v>
      </c>
      <c r="H40" s="9"/>
      <c r="I40" s="40" t="s">
        <v>28</v>
      </c>
      <c r="J40" s="41"/>
      <c r="K40" s="42" t="s">
        <v>27</v>
      </c>
    </row>
    <row r="41" spans="2:15" ht="15.75" thickBot="1" x14ac:dyDescent="0.3">
      <c r="B41" s="9"/>
      <c r="C41" s="40"/>
      <c r="D41" s="41"/>
      <c r="E41" s="42"/>
      <c r="H41" s="9"/>
      <c r="I41" s="44"/>
      <c r="J41" s="45"/>
      <c r="K41" s="46"/>
    </row>
    <row r="42" spans="2:15" ht="15.75" thickBot="1" x14ac:dyDescent="0.3">
      <c r="B42" s="9"/>
      <c r="C42" s="44"/>
      <c r="D42" s="45"/>
      <c r="E42" s="46"/>
      <c r="H42" s="9"/>
      <c r="I42" s="41"/>
      <c r="J42" s="41"/>
      <c r="K42" s="41"/>
    </row>
    <row r="43" spans="2:15" ht="15.75" thickBot="1" x14ac:dyDescent="0.3">
      <c r="B43" s="9"/>
      <c r="C43" s="9"/>
      <c r="D43" s="9"/>
      <c r="E43" s="9"/>
      <c r="H43" s="9"/>
      <c r="I43" s="9"/>
      <c r="J43" s="9"/>
      <c r="K43" s="9"/>
      <c r="O43" s="43"/>
    </row>
    <row r="44" spans="2:15" ht="15.75" thickBot="1" x14ac:dyDescent="0.3">
      <c r="B44" s="9"/>
      <c r="C44" s="47"/>
      <c r="D44" s="48" t="s">
        <v>35</v>
      </c>
      <c r="E44" s="49"/>
      <c r="H44" s="9"/>
      <c r="I44" s="47"/>
      <c r="J44" s="48" t="s">
        <v>35</v>
      </c>
      <c r="K44" s="49"/>
    </row>
    <row r="45" spans="2:15" x14ac:dyDescent="0.25">
      <c r="B45" s="9"/>
      <c r="C45" s="40"/>
      <c r="D45" s="41"/>
      <c r="E45" s="42"/>
      <c r="H45" s="9"/>
      <c r="I45" s="40"/>
      <c r="J45" s="41"/>
      <c r="K45" s="42"/>
    </row>
    <row r="46" spans="2:15" x14ac:dyDescent="0.25">
      <c r="B46" s="9"/>
      <c r="C46" s="50">
        <v>6</v>
      </c>
      <c r="D46" s="51" t="s">
        <v>36</v>
      </c>
      <c r="E46" s="52">
        <v>1</v>
      </c>
      <c r="H46" s="9"/>
      <c r="I46" s="50">
        <v>3</v>
      </c>
      <c r="J46" s="51" t="s">
        <v>36</v>
      </c>
      <c r="K46" s="52">
        <v>3</v>
      </c>
    </row>
    <row r="47" spans="2:15" ht="15.75" thickBot="1" x14ac:dyDescent="0.3">
      <c r="C47" s="53"/>
      <c r="D47" s="54"/>
      <c r="E47" s="55"/>
      <c r="I47" s="53"/>
      <c r="J47" s="54"/>
      <c r="K47" s="55"/>
    </row>
    <row r="48" spans="2:15" ht="15.75" thickBot="1" x14ac:dyDescent="0.3"/>
    <row r="49" spans="2:14" ht="15.75" thickBot="1" x14ac:dyDescent="0.3">
      <c r="C49" s="62" t="str">
        <f>IF(C46&gt;E46,"3",IF(C46=E46,"1","0"))</f>
        <v>3</v>
      </c>
      <c r="D49" s="64" t="s">
        <v>0</v>
      </c>
      <c r="E49" s="64" t="str">
        <f>IF(E46&gt;C46,"3",IF(E46=C46,"1","0"))</f>
        <v>0</v>
      </c>
      <c r="I49" s="62" t="str">
        <f>IF(I46&gt;K46,"3",IF(I46=K46,"1","0"))</f>
        <v>1</v>
      </c>
      <c r="J49" s="64" t="s">
        <v>0</v>
      </c>
      <c r="K49" s="64" t="str">
        <f>IF(K46&gt;I46,"3",IF(K46=I46,"1","0"))</f>
        <v>1</v>
      </c>
    </row>
    <row r="50" spans="2:14" ht="15.75" thickBot="1" x14ac:dyDescent="0.3"/>
    <row r="51" spans="2:14" ht="15.75" thickBot="1" x14ac:dyDescent="0.3">
      <c r="B51" s="33" t="s">
        <v>32</v>
      </c>
      <c r="C51" s="34"/>
      <c r="D51" s="60" t="s">
        <v>33</v>
      </c>
      <c r="E51" s="35"/>
      <c r="H51" s="33" t="s">
        <v>32</v>
      </c>
      <c r="I51" s="34"/>
      <c r="J51" s="60" t="s">
        <v>33</v>
      </c>
      <c r="K51" s="35"/>
    </row>
    <row r="52" spans="2:14" ht="15.75" thickBot="1" x14ac:dyDescent="0.3">
      <c r="B52" s="36">
        <f>Spiele!J5</f>
        <v>45580</v>
      </c>
      <c r="C52" s="37" t="s">
        <v>119</v>
      </c>
      <c r="D52" s="38"/>
      <c r="E52" s="39" t="s">
        <v>22</v>
      </c>
      <c r="H52" s="271">
        <f>Spiele!K5</f>
        <v>45587</v>
      </c>
      <c r="I52" s="40"/>
      <c r="K52" s="42"/>
    </row>
    <row r="53" spans="2:14" x14ac:dyDescent="0.25">
      <c r="B53" s="9"/>
      <c r="C53" s="40" t="s">
        <v>25</v>
      </c>
      <c r="D53" s="41"/>
      <c r="E53" s="42" t="s">
        <v>21</v>
      </c>
      <c r="H53" s="9"/>
      <c r="I53" s="40" t="s">
        <v>22</v>
      </c>
      <c r="J53" s="43"/>
      <c r="K53" s="270" t="s">
        <v>119</v>
      </c>
    </row>
    <row r="54" spans="2:14" x14ac:dyDescent="0.25">
      <c r="B54" s="9"/>
      <c r="C54" s="40" t="s">
        <v>17</v>
      </c>
      <c r="D54" s="43"/>
      <c r="E54" s="42" t="s">
        <v>16</v>
      </c>
      <c r="H54" s="9"/>
      <c r="I54" s="40" t="s">
        <v>21</v>
      </c>
      <c r="J54" s="231"/>
      <c r="K54" s="42" t="s">
        <v>17</v>
      </c>
      <c r="N54" s="43"/>
    </row>
    <row r="55" spans="2:14" x14ac:dyDescent="0.25">
      <c r="B55" s="9"/>
      <c r="C55" s="40" t="s">
        <v>13</v>
      </c>
      <c r="D55" s="41" t="s">
        <v>34</v>
      </c>
      <c r="E55" s="42" t="s">
        <v>122</v>
      </c>
      <c r="H55" s="9"/>
      <c r="I55" s="40" t="s">
        <v>13</v>
      </c>
      <c r="J55" s="267" t="s">
        <v>34</v>
      </c>
      <c r="K55" s="42" t="s">
        <v>16</v>
      </c>
    </row>
    <row r="56" spans="2:14" x14ac:dyDescent="0.25">
      <c r="B56" s="9"/>
      <c r="C56" s="40" t="s">
        <v>15</v>
      </c>
      <c r="D56" s="41"/>
      <c r="E56" s="42" t="s">
        <v>56</v>
      </c>
      <c r="H56" s="268"/>
      <c r="I56" s="40" t="s">
        <v>56</v>
      </c>
      <c r="J56" s="268"/>
      <c r="K56" s="42" t="s">
        <v>123</v>
      </c>
    </row>
    <row r="57" spans="2:14" x14ac:dyDescent="0.25">
      <c r="B57" s="9"/>
      <c r="C57" s="40" t="s">
        <v>27</v>
      </c>
      <c r="D57" s="41"/>
      <c r="E57" s="42" t="s">
        <v>28</v>
      </c>
      <c r="I57" s="269" t="s">
        <v>28</v>
      </c>
      <c r="J57" s="267"/>
      <c r="K57" s="42" t="s">
        <v>27</v>
      </c>
    </row>
    <row r="58" spans="2:14" ht="15.75" thickBot="1" x14ac:dyDescent="0.3">
      <c r="B58" s="9"/>
      <c r="C58" s="44"/>
      <c r="D58" s="45"/>
      <c r="E58" s="46" t="s">
        <v>19</v>
      </c>
      <c r="H58" s="9"/>
      <c r="I58" s="44"/>
      <c r="J58" s="45"/>
      <c r="K58" s="46"/>
    </row>
    <row r="59" spans="2:14" ht="15.75" thickBot="1" x14ac:dyDescent="0.3">
      <c r="B59" s="9"/>
      <c r="C59" s="9"/>
      <c r="D59" s="9"/>
      <c r="E59" s="9"/>
      <c r="H59" s="9"/>
      <c r="I59" s="9"/>
      <c r="J59" s="9"/>
      <c r="K59" s="9"/>
    </row>
    <row r="60" spans="2:14" ht="15.75" thickBot="1" x14ac:dyDescent="0.3">
      <c r="B60" s="9"/>
      <c r="C60" s="47"/>
      <c r="D60" s="48" t="s">
        <v>35</v>
      </c>
      <c r="E60" s="49"/>
      <c r="H60" s="9"/>
      <c r="I60" s="47"/>
      <c r="J60" s="48" t="s">
        <v>35</v>
      </c>
      <c r="K60" s="49"/>
    </row>
    <row r="61" spans="2:14" x14ac:dyDescent="0.25">
      <c r="B61" s="9"/>
      <c r="C61" s="40"/>
      <c r="D61" s="41"/>
      <c r="E61" s="42"/>
      <c r="H61" s="9"/>
      <c r="I61" s="40"/>
      <c r="J61" s="41"/>
      <c r="K61" s="42"/>
    </row>
    <row r="62" spans="2:14" x14ac:dyDescent="0.25">
      <c r="B62" s="9"/>
      <c r="C62" s="50">
        <v>3</v>
      </c>
      <c r="D62" s="51" t="s">
        <v>36</v>
      </c>
      <c r="E62" s="52">
        <v>2</v>
      </c>
      <c r="H62" s="9"/>
      <c r="I62" s="50">
        <v>4</v>
      </c>
      <c r="J62" s="51" t="s">
        <v>36</v>
      </c>
      <c r="K62" s="52">
        <v>1</v>
      </c>
    </row>
    <row r="63" spans="2:14" ht="15.75" thickBot="1" x14ac:dyDescent="0.3">
      <c r="C63" s="53"/>
      <c r="D63" s="54"/>
      <c r="E63" s="55"/>
      <c r="I63" s="53"/>
      <c r="J63" s="54"/>
      <c r="K63" s="55"/>
    </row>
    <row r="64" spans="2:14" ht="15.75" thickBot="1" x14ac:dyDescent="0.3"/>
    <row r="65" spans="2:11" ht="15.75" thickBot="1" x14ac:dyDescent="0.3">
      <c r="C65" s="62" t="str">
        <f>IF(C62&gt;E62,"3",IF(C62=E62,"1","0"))</f>
        <v>3</v>
      </c>
      <c r="D65" s="64" t="s">
        <v>0</v>
      </c>
      <c r="E65" s="64" t="str">
        <f>IF(E62&gt;C62,"3",IF(E62=C62,"1","0"))</f>
        <v>0</v>
      </c>
      <c r="I65" s="62" t="str">
        <f>IF(I62&gt;K62,"3",IF(I62=K62,"1","0"))</f>
        <v>3</v>
      </c>
      <c r="J65" s="64" t="s">
        <v>0</v>
      </c>
      <c r="K65" s="64" t="str">
        <f>IF(K62&gt;I62,"3",IF(K62=I62,"1","0"))</f>
        <v>0</v>
      </c>
    </row>
    <row r="66" spans="2:11" ht="15.75" thickBot="1" x14ac:dyDescent="0.3"/>
    <row r="67" spans="2:11" ht="15.75" thickBot="1" x14ac:dyDescent="0.3">
      <c r="B67" s="33" t="s">
        <v>32</v>
      </c>
      <c r="C67" s="34"/>
      <c r="D67" s="60" t="s">
        <v>33</v>
      </c>
      <c r="E67" s="35"/>
      <c r="H67" s="33" t="s">
        <v>32</v>
      </c>
      <c r="I67" s="34"/>
      <c r="J67" s="60" t="s">
        <v>33</v>
      </c>
      <c r="K67" s="35"/>
    </row>
    <row r="68" spans="2:11" ht="15.75" thickBot="1" x14ac:dyDescent="0.3">
      <c r="B68" s="36">
        <f>Spiele!L5</f>
        <v>45594</v>
      </c>
      <c r="C68" s="37"/>
      <c r="D68" s="38"/>
      <c r="E68" s="39"/>
      <c r="H68" s="36">
        <f>Spiele!M5</f>
        <v>45601</v>
      </c>
      <c r="I68" s="37"/>
      <c r="J68" s="38"/>
      <c r="K68" s="39"/>
    </row>
    <row r="69" spans="2:11" x14ac:dyDescent="0.25">
      <c r="B69" s="9"/>
      <c r="C69" s="40" t="s">
        <v>25</v>
      </c>
      <c r="D69" s="41"/>
      <c r="E69" s="42" t="s">
        <v>22</v>
      </c>
      <c r="H69" s="9"/>
      <c r="I69" s="40" t="s">
        <v>25</v>
      </c>
      <c r="J69" s="41"/>
      <c r="K69" s="42" t="s">
        <v>119</v>
      </c>
    </row>
    <row r="70" spans="2:11" x14ac:dyDescent="0.25">
      <c r="B70" s="9"/>
      <c r="C70" s="40" t="s">
        <v>17</v>
      </c>
      <c r="D70" s="43"/>
      <c r="E70" s="42" t="s">
        <v>13</v>
      </c>
      <c r="H70" s="9"/>
      <c r="I70" s="40" t="s">
        <v>17</v>
      </c>
      <c r="J70" s="43"/>
      <c r="K70" s="42" t="s">
        <v>16</v>
      </c>
    </row>
    <row r="71" spans="2:11" x14ac:dyDescent="0.25">
      <c r="B71" s="9"/>
      <c r="C71" s="40" t="s">
        <v>21</v>
      </c>
      <c r="D71" s="41" t="s">
        <v>34</v>
      </c>
      <c r="E71" s="42" t="s">
        <v>122</v>
      </c>
      <c r="H71" s="9"/>
      <c r="I71" s="40" t="s">
        <v>15</v>
      </c>
      <c r="J71" s="41" t="s">
        <v>34</v>
      </c>
      <c r="K71" s="42" t="s">
        <v>13</v>
      </c>
    </row>
    <row r="72" spans="2:11" x14ac:dyDescent="0.25">
      <c r="B72" s="9"/>
      <c r="C72" s="40" t="s">
        <v>15</v>
      </c>
      <c r="D72" s="41"/>
      <c r="E72" s="42" t="s">
        <v>28</v>
      </c>
      <c r="H72" s="9"/>
      <c r="I72" s="40" t="s">
        <v>123</v>
      </c>
      <c r="J72" s="41"/>
      <c r="K72" s="42" t="s">
        <v>122</v>
      </c>
    </row>
    <row r="73" spans="2:11" x14ac:dyDescent="0.25">
      <c r="B73" s="9"/>
      <c r="C73" s="40"/>
      <c r="D73" s="41"/>
      <c r="E73" s="42"/>
      <c r="H73" s="9"/>
      <c r="I73" s="40" t="s">
        <v>27</v>
      </c>
      <c r="J73" s="41"/>
      <c r="K73" s="42" t="s">
        <v>56</v>
      </c>
    </row>
    <row r="74" spans="2:11" ht="15.75" thickBot="1" x14ac:dyDescent="0.3">
      <c r="B74" s="9"/>
      <c r="C74" s="44"/>
      <c r="D74" s="45"/>
      <c r="E74" s="46"/>
      <c r="H74" s="9"/>
      <c r="I74" s="44"/>
      <c r="J74" s="45"/>
      <c r="K74" s="46"/>
    </row>
    <row r="75" spans="2:11" ht="15.75" thickBot="1" x14ac:dyDescent="0.3">
      <c r="B75" s="9"/>
      <c r="C75" s="9"/>
      <c r="D75" s="9"/>
      <c r="E75" s="9"/>
      <c r="H75" s="9"/>
      <c r="I75" s="9"/>
      <c r="J75" s="9"/>
      <c r="K75" s="9"/>
    </row>
    <row r="76" spans="2:11" ht="15.75" thickBot="1" x14ac:dyDescent="0.3">
      <c r="B76" s="9"/>
      <c r="C76" s="47"/>
      <c r="D76" s="48" t="s">
        <v>35</v>
      </c>
      <c r="E76" s="49"/>
      <c r="H76" s="9"/>
      <c r="I76" s="47"/>
      <c r="J76" s="48" t="s">
        <v>35</v>
      </c>
      <c r="K76" s="49"/>
    </row>
    <row r="77" spans="2:11" x14ac:dyDescent="0.25">
      <c r="B77" s="9"/>
      <c r="C77" s="40"/>
      <c r="D77" s="41"/>
      <c r="E77" s="42"/>
      <c r="H77" s="9"/>
      <c r="I77" s="40"/>
      <c r="J77" s="41"/>
      <c r="K77" s="42"/>
    </row>
    <row r="78" spans="2:11" x14ac:dyDescent="0.25">
      <c r="B78" s="9"/>
      <c r="C78" s="50">
        <v>4</v>
      </c>
      <c r="D78" s="51" t="s">
        <v>36</v>
      </c>
      <c r="E78" s="52">
        <v>3</v>
      </c>
      <c r="H78" s="9"/>
      <c r="I78" s="50">
        <v>1</v>
      </c>
      <c r="J78" s="51" t="s">
        <v>36</v>
      </c>
      <c r="K78" s="52">
        <v>0</v>
      </c>
    </row>
    <row r="79" spans="2:11" ht="15.75" thickBot="1" x14ac:dyDescent="0.3">
      <c r="C79" s="53"/>
      <c r="D79" s="54"/>
      <c r="E79" s="55"/>
      <c r="I79" s="53"/>
      <c r="J79" s="54"/>
      <c r="K79" s="55"/>
    </row>
    <row r="80" spans="2:11" ht="15.75" thickBot="1" x14ac:dyDescent="0.3"/>
    <row r="81" spans="2:15" ht="15.75" thickBot="1" x14ac:dyDescent="0.3">
      <c r="C81" s="62" t="str">
        <f>IF(C78&gt;E78,"3",IF(C78=E78,"1","0"))</f>
        <v>3</v>
      </c>
      <c r="D81" s="64" t="s">
        <v>0</v>
      </c>
      <c r="E81" s="64" t="str">
        <f>IF(E78&gt;C78,"3",IF(E78=C78,"1","0"))</f>
        <v>0</v>
      </c>
      <c r="I81" s="62" t="str">
        <f>IF(I78&gt;K78,"3",IF(I78=K78,"1","0"))</f>
        <v>3</v>
      </c>
      <c r="J81" s="64" t="s">
        <v>0</v>
      </c>
      <c r="K81" s="64" t="str">
        <f>IF(K78&gt;I78,"3",IF(K78=I78,"1","0"))</f>
        <v>0</v>
      </c>
    </row>
    <row r="82" spans="2:15" ht="15.75" thickBot="1" x14ac:dyDescent="0.3"/>
    <row r="83" spans="2:15" ht="15.75" thickBot="1" x14ac:dyDescent="0.3">
      <c r="B83" s="33" t="s">
        <v>32</v>
      </c>
      <c r="C83" s="34"/>
      <c r="D83" s="60" t="s">
        <v>33</v>
      </c>
      <c r="E83" s="35"/>
      <c r="H83" s="33" t="s">
        <v>32</v>
      </c>
      <c r="I83" s="57"/>
      <c r="J83" s="58" t="s">
        <v>33</v>
      </c>
      <c r="K83" s="59"/>
    </row>
    <row r="84" spans="2:15" ht="15.75" thickBot="1" x14ac:dyDescent="0.3">
      <c r="B84" s="36">
        <f>Spiele!N5</f>
        <v>45608</v>
      </c>
      <c r="C84" s="37"/>
      <c r="D84" s="38"/>
      <c r="E84" s="39"/>
      <c r="H84" s="36">
        <f>Spiele!O5</f>
        <v>45615</v>
      </c>
      <c r="I84" s="37" t="s">
        <v>25</v>
      </c>
      <c r="J84" s="38"/>
      <c r="K84" s="39" t="s">
        <v>119</v>
      </c>
    </row>
    <row r="85" spans="2:15" x14ac:dyDescent="0.25">
      <c r="B85" s="9"/>
      <c r="C85" s="40" t="s">
        <v>119</v>
      </c>
      <c r="D85" s="41"/>
      <c r="E85" s="42" t="s">
        <v>25</v>
      </c>
      <c r="H85" s="9"/>
      <c r="I85" s="40" t="s">
        <v>17</v>
      </c>
      <c r="J85" s="41"/>
      <c r="K85" s="42" t="s">
        <v>14</v>
      </c>
    </row>
    <row r="86" spans="2:15" x14ac:dyDescent="0.25">
      <c r="B86" s="9"/>
      <c r="C86" s="40" t="s">
        <v>22</v>
      </c>
      <c r="D86" s="43"/>
      <c r="E86" s="42" t="s">
        <v>17</v>
      </c>
      <c r="H86" s="9"/>
      <c r="I86" s="40" t="s">
        <v>15</v>
      </c>
      <c r="J86" s="43"/>
      <c r="K86" s="42" t="s">
        <v>22</v>
      </c>
    </row>
    <row r="87" spans="2:15" x14ac:dyDescent="0.25">
      <c r="B87" s="9"/>
      <c r="C87" s="40" t="s">
        <v>21</v>
      </c>
      <c r="D87" s="41" t="s">
        <v>34</v>
      </c>
      <c r="E87" s="42" t="s">
        <v>16</v>
      </c>
      <c r="H87" s="9"/>
      <c r="I87" s="40" t="s">
        <v>122</v>
      </c>
      <c r="J87" s="41" t="s">
        <v>34</v>
      </c>
      <c r="K87" s="42" t="s">
        <v>21</v>
      </c>
    </row>
    <row r="88" spans="2:15" x14ac:dyDescent="0.25">
      <c r="B88" s="9"/>
      <c r="C88" s="40" t="s">
        <v>13</v>
      </c>
      <c r="D88" s="41"/>
      <c r="E88" s="42" t="s">
        <v>15</v>
      </c>
      <c r="H88" s="9"/>
      <c r="I88" s="40" t="s">
        <v>123</v>
      </c>
      <c r="J88" s="41"/>
      <c r="K88" s="42" t="s">
        <v>16</v>
      </c>
    </row>
    <row r="89" spans="2:15" x14ac:dyDescent="0.25">
      <c r="B89" s="9"/>
      <c r="C89" s="40" t="s">
        <v>122</v>
      </c>
      <c r="D89" s="41"/>
      <c r="E89" s="42" t="s">
        <v>27</v>
      </c>
      <c r="H89" s="9"/>
      <c r="I89" s="40" t="s">
        <v>28</v>
      </c>
      <c r="J89" s="41"/>
      <c r="K89" s="42" t="s">
        <v>13</v>
      </c>
    </row>
    <row r="90" spans="2:15" ht="15.75" thickBot="1" x14ac:dyDescent="0.3">
      <c r="B90" s="9"/>
      <c r="C90" s="44"/>
      <c r="D90" s="45"/>
      <c r="E90" s="46"/>
      <c r="H90" s="9"/>
      <c r="I90" s="44"/>
      <c r="J90" s="45"/>
      <c r="K90" s="46" t="s">
        <v>19</v>
      </c>
    </row>
    <row r="91" spans="2:15" x14ac:dyDescent="0.25">
      <c r="B91" s="9"/>
      <c r="C91" s="41"/>
      <c r="D91" s="41"/>
      <c r="E91" s="41"/>
      <c r="H91" s="9"/>
      <c r="I91" s="41"/>
      <c r="J91" s="41"/>
      <c r="K91" s="231"/>
      <c r="L91" s="167"/>
      <c r="M91" s="167"/>
      <c r="N91" s="167"/>
      <c r="O91" s="167"/>
    </row>
    <row r="92" spans="2:15" ht="15.75" thickBot="1" x14ac:dyDescent="0.3">
      <c r="B92" s="9"/>
      <c r="C92" s="9"/>
      <c r="D92" s="9"/>
      <c r="E92" s="9"/>
      <c r="H92" s="9"/>
      <c r="I92" s="9"/>
      <c r="J92" s="9"/>
      <c r="K92" s="9"/>
    </row>
    <row r="93" spans="2:15" ht="15.75" thickBot="1" x14ac:dyDescent="0.3">
      <c r="B93" s="9"/>
      <c r="C93" s="47"/>
      <c r="D93" s="48" t="s">
        <v>35</v>
      </c>
      <c r="E93" s="49"/>
      <c r="H93" s="9"/>
      <c r="I93" s="47"/>
      <c r="J93" s="48" t="s">
        <v>35</v>
      </c>
      <c r="K93" s="49"/>
    </row>
    <row r="94" spans="2:15" x14ac:dyDescent="0.25">
      <c r="B94" s="9"/>
      <c r="C94" s="40"/>
      <c r="D94" s="41"/>
      <c r="E94" s="42"/>
      <c r="H94" s="9"/>
      <c r="I94" s="40"/>
      <c r="J94" s="41"/>
      <c r="K94" s="42"/>
    </row>
    <row r="95" spans="2:15" x14ac:dyDescent="0.25">
      <c r="B95" s="9"/>
      <c r="C95" s="50">
        <v>3</v>
      </c>
      <c r="D95" s="51" t="s">
        <v>36</v>
      </c>
      <c r="E95" s="52">
        <v>1</v>
      </c>
      <c r="H95" s="9"/>
      <c r="I95" s="50">
        <v>2</v>
      </c>
      <c r="J95" s="51" t="s">
        <v>36</v>
      </c>
      <c r="K95" s="52">
        <v>1</v>
      </c>
    </row>
    <row r="96" spans="2:15" ht="15.75" thickBot="1" x14ac:dyDescent="0.3">
      <c r="C96" s="53"/>
      <c r="D96" s="54"/>
      <c r="E96" s="55"/>
      <c r="I96" s="53"/>
      <c r="J96" s="54"/>
      <c r="K96" s="55"/>
    </row>
    <row r="97" spans="2:11" ht="15.75" thickBot="1" x14ac:dyDescent="0.3"/>
    <row r="98" spans="2:11" ht="15.75" thickBot="1" x14ac:dyDescent="0.3">
      <c r="C98" s="62" t="str">
        <f>IF(C95&gt;E95,"3",IF(C95=E95,"1","0"))</f>
        <v>3</v>
      </c>
      <c r="D98" s="64" t="s">
        <v>0</v>
      </c>
      <c r="E98" s="64" t="str">
        <f>IF(E95&gt;C95,"3",IF(E95=C95,"1","0"))</f>
        <v>0</v>
      </c>
      <c r="I98" s="62" t="str">
        <f>IF(I95&gt;K95,"3",IF(I95=K95,"1","0"))</f>
        <v>3</v>
      </c>
      <c r="J98" s="64" t="s">
        <v>0</v>
      </c>
      <c r="K98" s="64" t="str">
        <f>IF(K95&gt;I95,"3",IF(K95=I95,"1","0"))</f>
        <v>0</v>
      </c>
    </row>
    <row r="99" spans="2:11" ht="15.75" thickBot="1" x14ac:dyDescent="0.3"/>
    <row r="100" spans="2:11" ht="15.75" thickBot="1" x14ac:dyDescent="0.3">
      <c r="B100" s="33" t="s">
        <v>32</v>
      </c>
      <c r="C100" s="34"/>
      <c r="D100" s="60" t="s">
        <v>33</v>
      </c>
      <c r="E100" s="35"/>
      <c r="H100" s="33" t="s">
        <v>32</v>
      </c>
      <c r="I100" s="34"/>
      <c r="J100" s="60" t="s">
        <v>33</v>
      </c>
      <c r="K100" s="35"/>
    </row>
    <row r="101" spans="2:11" ht="15.75" thickBot="1" x14ac:dyDescent="0.3">
      <c r="B101" s="36">
        <f>Spiele!P5</f>
        <v>45622</v>
      </c>
      <c r="C101" s="37"/>
      <c r="D101" s="38"/>
      <c r="E101" s="39"/>
      <c r="H101" s="36">
        <f>Spiele!Q5</f>
        <v>45629</v>
      </c>
      <c r="I101" s="37"/>
      <c r="J101" s="38"/>
      <c r="K101" s="39"/>
    </row>
    <row r="102" spans="2:11" x14ac:dyDescent="0.25">
      <c r="B102" s="9"/>
      <c r="C102" s="40" t="s">
        <v>119</v>
      </c>
      <c r="D102" s="41"/>
      <c r="E102" s="42" t="s">
        <v>21</v>
      </c>
      <c r="H102" s="9"/>
      <c r="I102" s="40" t="s">
        <v>119</v>
      </c>
      <c r="J102" s="41"/>
      <c r="K102" s="42" t="s">
        <v>25</v>
      </c>
    </row>
    <row r="103" spans="2:11" x14ac:dyDescent="0.25">
      <c r="B103" s="9"/>
      <c r="C103" s="40" t="s">
        <v>22</v>
      </c>
      <c r="D103" s="43"/>
      <c r="E103" s="42" t="s">
        <v>16</v>
      </c>
      <c r="H103" s="9"/>
      <c r="I103" s="40" t="s">
        <v>22</v>
      </c>
      <c r="J103" s="43"/>
      <c r="K103" s="42" t="s">
        <v>17</v>
      </c>
    </row>
    <row r="104" spans="2:11" x14ac:dyDescent="0.25">
      <c r="B104" s="9"/>
      <c r="C104" s="40" t="s">
        <v>17</v>
      </c>
      <c r="D104" s="41" t="s">
        <v>34</v>
      </c>
      <c r="E104" s="42" t="s">
        <v>13</v>
      </c>
      <c r="H104" s="9"/>
      <c r="I104" s="40" t="s">
        <v>21</v>
      </c>
      <c r="J104" s="41" t="s">
        <v>34</v>
      </c>
      <c r="K104" s="42" t="s">
        <v>16</v>
      </c>
    </row>
    <row r="105" spans="2:11" x14ac:dyDescent="0.25">
      <c r="B105" s="9"/>
      <c r="C105" s="40" t="s">
        <v>15</v>
      </c>
      <c r="D105" s="41"/>
      <c r="E105" s="42" t="s">
        <v>122</v>
      </c>
      <c r="H105" s="9"/>
      <c r="I105" s="40" t="s">
        <v>122</v>
      </c>
      <c r="J105" s="41"/>
      <c r="K105" s="42" t="s">
        <v>13</v>
      </c>
    </row>
    <row r="106" spans="2:11" x14ac:dyDescent="0.25">
      <c r="B106" s="9"/>
      <c r="C106" s="40" t="s">
        <v>27</v>
      </c>
      <c r="D106" s="41"/>
      <c r="E106" s="42" t="s">
        <v>123</v>
      </c>
      <c r="H106" s="9"/>
      <c r="I106" s="40" t="s">
        <v>28</v>
      </c>
      <c r="J106" s="41"/>
      <c r="K106" s="42" t="s">
        <v>15</v>
      </c>
    </row>
    <row r="107" spans="2:11" ht="15.75" thickBot="1" x14ac:dyDescent="0.3">
      <c r="B107" s="9"/>
      <c r="C107" s="44"/>
      <c r="D107" s="45"/>
      <c r="E107" s="46"/>
      <c r="H107" s="9"/>
      <c r="I107" s="44"/>
      <c r="J107" s="45"/>
      <c r="K107" s="46"/>
    </row>
    <row r="108" spans="2:11" ht="15.75" thickBot="1" x14ac:dyDescent="0.3">
      <c r="B108" s="9"/>
      <c r="C108" s="9"/>
      <c r="D108" s="9"/>
      <c r="E108" s="9"/>
      <c r="H108" s="9"/>
      <c r="I108" s="9"/>
      <c r="J108" s="9"/>
      <c r="K108" s="9"/>
    </row>
    <row r="109" spans="2:11" ht="15.75" thickBot="1" x14ac:dyDescent="0.3">
      <c r="B109" s="9"/>
      <c r="C109" s="47"/>
      <c r="D109" s="48" t="s">
        <v>35</v>
      </c>
      <c r="E109" s="49"/>
      <c r="H109" s="9"/>
      <c r="I109" s="47"/>
      <c r="J109" s="48" t="s">
        <v>35</v>
      </c>
      <c r="K109" s="49"/>
    </row>
    <row r="110" spans="2:11" x14ac:dyDescent="0.25">
      <c r="B110" s="9"/>
      <c r="C110" s="40"/>
      <c r="D110" s="41"/>
      <c r="E110" s="42"/>
      <c r="H110" s="9"/>
      <c r="I110" s="40"/>
      <c r="J110" s="41"/>
      <c r="K110" s="42"/>
    </row>
    <row r="111" spans="2:11" x14ac:dyDescent="0.25">
      <c r="B111" s="9"/>
      <c r="C111" s="50">
        <v>3</v>
      </c>
      <c r="D111" s="51" t="s">
        <v>36</v>
      </c>
      <c r="E111" s="52">
        <v>2</v>
      </c>
      <c r="H111" s="9"/>
      <c r="I111" s="50">
        <v>3</v>
      </c>
      <c r="J111" s="51" t="s">
        <v>36</v>
      </c>
      <c r="K111" s="52">
        <v>0</v>
      </c>
    </row>
    <row r="112" spans="2:11" ht="15.75" thickBot="1" x14ac:dyDescent="0.3">
      <c r="C112" s="53"/>
      <c r="D112" s="54"/>
      <c r="E112" s="55"/>
      <c r="I112" s="53"/>
      <c r="J112" s="54"/>
      <c r="K112" s="55"/>
    </row>
    <row r="113" spans="2:11" ht="15.75" thickBot="1" x14ac:dyDescent="0.3"/>
    <row r="114" spans="2:11" ht="15.75" thickBot="1" x14ac:dyDescent="0.3">
      <c r="C114" s="62" t="str">
        <f>IF(C111&gt;E111,"3",IF(C111=E111,"1","0"))</f>
        <v>3</v>
      </c>
      <c r="D114" s="64" t="s">
        <v>0</v>
      </c>
      <c r="E114" s="64" t="str">
        <f>IF(E111&gt;C111,"3",IF(E111=C111,"1","0"))</f>
        <v>0</v>
      </c>
      <c r="I114" s="62" t="str">
        <f>IF(I111&gt;K111,"3",IF(I111=K111,"1","0"))</f>
        <v>3</v>
      </c>
      <c r="J114" s="64" t="s">
        <v>0</v>
      </c>
      <c r="K114" s="64" t="str">
        <f>IF(K111&gt;I111,"3",IF(K111=I111,"1","0"))</f>
        <v>0</v>
      </c>
    </row>
    <row r="115" spans="2:11" ht="15.75" thickBot="1" x14ac:dyDescent="0.3"/>
    <row r="116" spans="2:11" ht="15.75" thickBot="1" x14ac:dyDescent="0.3">
      <c r="B116" s="33" t="s">
        <v>32</v>
      </c>
      <c r="C116" s="34"/>
      <c r="D116" s="60" t="s">
        <v>33</v>
      </c>
      <c r="E116" s="35"/>
      <c r="H116" s="33" t="s">
        <v>32</v>
      </c>
      <c r="I116" s="34"/>
      <c r="J116" s="60" t="s">
        <v>33</v>
      </c>
      <c r="K116" s="35"/>
    </row>
    <row r="117" spans="2:11" ht="15.75" thickBot="1" x14ac:dyDescent="0.3">
      <c r="B117" s="36">
        <f>Spiele!R5</f>
        <v>45643</v>
      </c>
      <c r="C117" s="37"/>
      <c r="D117" s="38"/>
      <c r="E117" s="39"/>
      <c r="H117" s="36">
        <f>Spiele!S5</f>
        <v>45664</v>
      </c>
      <c r="I117" s="37"/>
      <c r="J117" s="38"/>
      <c r="K117" s="39"/>
    </row>
    <row r="118" spans="2:11" x14ac:dyDescent="0.25">
      <c r="B118" s="9"/>
      <c r="C118" s="40" t="s">
        <v>119</v>
      </c>
      <c r="D118" s="41"/>
      <c r="E118" s="42" t="s">
        <v>14</v>
      </c>
      <c r="H118" s="9"/>
      <c r="I118" s="40" t="s">
        <v>119</v>
      </c>
      <c r="J118" s="41"/>
      <c r="K118" s="42" t="s">
        <v>25</v>
      </c>
    </row>
    <row r="119" spans="2:11" x14ac:dyDescent="0.25">
      <c r="B119" s="9"/>
      <c r="C119" s="40" t="s">
        <v>22</v>
      </c>
      <c r="D119" s="43"/>
      <c r="E119" s="42" t="s">
        <v>21</v>
      </c>
      <c r="H119" s="9"/>
      <c r="I119" s="40" t="s">
        <v>14</v>
      </c>
      <c r="J119" s="43"/>
      <c r="K119" s="42" t="s">
        <v>22</v>
      </c>
    </row>
    <row r="120" spans="2:11" x14ac:dyDescent="0.25">
      <c r="B120" s="9"/>
      <c r="C120" s="40" t="s">
        <v>17</v>
      </c>
      <c r="D120" s="41" t="s">
        <v>34</v>
      </c>
      <c r="E120" s="42" t="s">
        <v>16</v>
      </c>
      <c r="H120" s="9"/>
      <c r="I120" s="40" t="s">
        <v>16</v>
      </c>
      <c r="J120" s="41" t="s">
        <v>34</v>
      </c>
      <c r="K120" s="42" t="s">
        <v>127</v>
      </c>
    </row>
    <row r="121" spans="2:11" x14ac:dyDescent="0.25">
      <c r="B121" s="9"/>
      <c r="C121" s="40" t="s">
        <v>13</v>
      </c>
      <c r="D121" s="41"/>
      <c r="E121" s="42" t="s">
        <v>122</v>
      </c>
      <c r="H121" s="9"/>
      <c r="I121" s="40" t="s">
        <v>13</v>
      </c>
      <c r="J121" s="41"/>
      <c r="K121" s="42" t="s">
        <v>15</v>
      </c>
    </row>
    <row r="122" spans="2:11" x14ac:dyDescent="0.25">
      <c r="B122" s="9"/>
      <c r="C122" s="40" t="s">
        <v>15</v>
      </c>
      <c r="D122" s="41"/>
      <c r="E122" s="42" t="s">
        <v>28</v>
      </c>
      <c r="H122" s="9"/>
      <c r="I122" s="40" t="s">
        <v>123</v>
      </c>
      <c r="J122" s="41"/>
      <c r="K122" s="42" t="s">
        <v>28</v>
      </c>
    </row>
    <row r="123" spans="2:11" ht="15.75" thickBot="1" x14ac:dyDescent="0.3">
      <c r="B123" s="9"/>
      <c r="C123" s="44"/>
      <c r="D123" s="45"/>
      <c r="E123" s="46" t="s">
        <v>19</v>
      </c>
      <c r="H123" s="9"/>
      <c r="I123" s="44" t="s">
        <v>27</v>
      </c>
      <c r="J123" s="45"/>
      <c r="K123" s="46"/>
    </row>
    <row r="124" spans="2:11" ht="15.75" thickBot="1" x14ac:dyDescent="0.3">
      <c r="B124" s="9"/>
      <c r="C124" s="9"/>
      <c r="D124" s="9"/>
      <c r="E124" s="9"/>
      <c r="H124" s="9"/>
      <c r="I124" s="9"/>
      <c r="J124" s="9"/>
      <c r="K124" s="9"/>
    </row>
    <row r="125" spans="2:11" ht="15.75" thickBot="1" x14ac:dyDescent="0.3">
      <c r="B125" s="9"/>
      <c r="C125" s="47"/>
      <c r="D125" s="48" t="s">
        <v>35</v>
      </c>
      <c r="E125" s="49"/>
      <c r="H125" s="9"/>
      <c r="I125" s="47"/>
      <c r="J125" s="48" t="s">
        <v>35</v>
      </c>
      <c r="K125" s="49"/>
    </row>
    <row r="126" spans="2:11" x14ac:dyDescent="0.25">
      <c r="B126" s="9"/>
      <c r="C126" s="40"/>
      <c r="D126" s="41"/>
      <c r="E126" s="42"/>
      <c r="H126" s="9"/>
      <c r="I126" s="40"/>
      <c r="J126" s="41"/>
      <c r="K126" s="42"/>
    </row>
    <row r="127" spans="2:11" x14ac:dyDescent="0.25">
      <c r="B127" s="9"/>
      <c r="C127" s="50">
        <v>4</v>
      </c>
      <c r="D127" s="51" t="s">
        <v>36</v>
      </c>
      <c r="E127" s="52">
        <v>1</v>
      </c>
      <c r="H127" s="9"/>
      <c r="I127" s="50">
        <v>4</v>
      </c>
      <c r="J127" s="51" t="s">
        <v>36</v>
      </c>
      <c r="K127" s="52">
        <v>3</v>
      </c>
    </row>
    <row r="128" spans="2:11" ht="15.75" thickBot="1" x14ac:dyDescent="0.3">
      <c r="C128" s="53"/>
      <c r="D128" s="54"/>
      <c r="E128" s="55"/>
      <c r="I128" s="53"/>
      <c r="J128" s="54"/>
      <c r="K128" s="55"/>
    </row>
    <row r="129" spans="2:11" ht="15.75" thickBot="1" x14ac:dyDescent="0.3"/>
    <row r="130" spans="2:11" ht="15.75" thickBot="1" x14ac:dyDescent="0.3">
      <c r="C130" s="62" t="str">
        <f>IF(C127&gt;E127,"3",IF(C127=E127,"1","0"))</f>
        <v>3</v>
      </c>
      <c r="D130" s="64" t="s">
        <v>0</v>
      </c>
      <c r="E130" s="64" t="str">
        <f>IF(E127&gt;C127,"3",IF(E127=C127,"1","0"))</f>
        <v>0</v>
      </c>
      <c r="I130" s="62" t="str">
        <f>IF(I127&gt;K127,"3",IF(I127=K127,"1","0"))</f>
        <v>3</v>
      </c>
      <c r="J130" s="64" t="s">
        <v>0</v>
      </c>
      <c r="K130" s="64" t="str">
        <f>IF(K127&gt;I127,"3",IF(K127=I127,"1","0"))</f>
        <v>0</v>
      </c>
    </row>
    <row r="131" spans="2:11" ht="15.75" thickBot="1" x14ac:dyDescent="0.3"/>
    <row r="132" spans="2:11" ht="15.75" thickBot="1" x14ac:dyDescent="0.3">
      <c r="B132" s="33" t="s">
        <v>32</v>
      </c>
      <c r="C132" s="34"/>
      <c r="D132" s="60" t="s">
        <v>33</v>
      </c>
      <c r="E132" s="35"/>
      <c r="H132" s="33" t="s">
        <v>32</v>
      </c>
      <c r="I132" s="34"/>
      <c r="J132" s="60" t="s">
        <v>33</v>
      </c>
      <c r="K132" s="35"/>
    </row>
    <row r="133" spans="2:11" ht="15.75" thickBot="1" x14ac:dyDescent="0.3">
      <c r="B133" s="36">
        <f>Spiele!T5</f>
        <v>45671</v>
      </c>
      <c r="C133" s="37"/>
      <c r="D133" s="38"/>
      <c r="E133" s="39"/>
      <c r="H133" s="36">
        <f>Spiele!U5</f>
        <v>45678</v>
      </c>
      <c r="I133" s="37"/>
      <c r="J133" s="38"/>
      <c r="K133" s="39"/>
    </row>
    <row r="134" spans="2:11" x14ac:dyDescent="0.25">
      <c r="B134" s="9"/>
      <c r="C134" s="40" t="s">
        <v>119</v>
      </c>
      <c r="D134" s="41"/>
      <c r="E134" s="42" t="s">
        <v>22</v>
      </c>
      <c r="H134" s="9"/>
      <c r="I134" s="40" t="s">
        <v>119</v>
      </c>
      <c r="J134" s="41"/>
      <c r="K134" s="42" t="s">
        <v>25</v>
      </c>
    </row>
    <row r="135" spans="2:11" x14ac:dyDescent="0.25">
      <c r="B135" s="9"/>
      <c r="C135" s="40" t="s">
        <v>25</v>
      </c>
      <c r="D135" s="43"/>
      <c r="E135" s="42" t="s">
        <v>21</v>
      </c>
      <c r="H135" s="9"/>
      <c r="I135" s="40" t="s">
        <v>16</v>
      </c>
      <c r="J135" s="43"/>
      <c r="K135" s="42" t="s">
        <v>22</v>
      </c>
    </row>
    <row r="136" spans="2:11" x14ac:dyDescent="0.25">
      <c r="B136" s="9"/>
      <c r="C136" s="40" t="s">
        <v>14</v>
      </c>
      <c r="D136" s="41" t="s">
        <v>34</v>
      </c>
      <c r="E136" s="42" t="s">
        <v>16</v>
      </c>
      <c r="H136" s="9"/>
      <c r="I136" s="40" t="s">
        <v>13</v>
      </c>
      <c r="J136" s="41" t="s">
        <v>34</v>
      </c>
      <c r="K136" s="42" t="s">
        <v>17</v>
      </c>
    </row>
    <row r="137" spans="2:11" x14ac:dyDescent="0.25">
      <c r="B137" s="9"/>
      <c r="C137" s="40" t="s">
        <v>123</v>
      </c>
      <c r="D137" s="41"/>
      <c r="E137" s="42" t="s">
        <v>13</v>
      </c>
      <c r="H137" s="9"/>
      <c r="I137" s="40" t="s">
        <v>122</v>
      </c>
      <c r="J137" s="41"/>
      <c r="K137" s="42" t="s">
        <v>15</v>
      </c>
    </row>
    <row r="138" spans="2:11" x14ac:dyDescent="0.25">
      <c r="B138" s="9"/>
      <c r="C138" s="40"/>
      <c r="D138" s="41"/>
      <c r="E138" s="42" t="s">
        <v>28</v>
      </c>
      <c r="H138" s="9"/>
      <c r="I138" s="40" t="s">
        <v>123</v>
      </c>
      <c r="J138" s="41"/>
      <c r="K138" s="42" t="s">
        <v>27</v>
      </c>
    </row>
    <row r="139" spans="2:11" ht="15.75" thickBot="1" x14ac:dyDescent="0.3">
      <c r="B139" s="9"/>
      <c r="C139" s="44"/>
      <c r="D139" s="45"/>
      <c r="E139" s="46"/>
      <c r="H139" s="9"/>
      <c r="I139" s="44" t="s">
        <v>28</v>
      </c>
      <c r="J139" s="45"/>
      <c r="K139" s="46" t="s">
        <v>19</v>
      </c>
    </row>
    <row r="140" spans="2:11" ht="15.75" thickBot="1" x14ac:dyDescent="0.3">
      <c r="B140" s="9"/>
      <c r="C140" s="9"/>
      <c r="D140" s="9"/>
      <c r="E140" s="9"/>
      <c r="H140" s="9"/>
      <c r="I140" s="9"/>
      <c r="J140" s="9"/>
      <c r="K140" s="9"/>
    </row>
    <row r="141" spans="2:11" ht="15.75" thickBot="1" x14ac:dyDescent="0.3">
      <c r="B141" s="9"/>
      <c r="C141" s="47"/>
      <c r="D141" s="48" t="s">
        <v>35</v>
      </c>
      <c r="E141" s="49"/>
      <c r="H141" s="9"/>
      <c r="I141" s="47"/>
      <c r="J141" s="48" t="s">
        <v>35</v>
      </c>
      <c r="K141" s="49"/>
    </row>
    <row r="142" spans="2:11" x14ac:dyDescent="0.25">
      <c r="B142" s="9"/>
      <c r="C142" s="40"/>
      <c r="D142" s="41"/>
      <c r="E142" s="42"/>
      <c r="H142" s="9"/>
      <c r="I142" s="40"/>
      <c r="J142" s="41"/>
      <c r="K142" s="42"/>
    </row>
    <row r="143" spans="2:11" x14ac:dyDescent="0.25">
      <c r="B143" s="9"/>
      <c r="C143" s="50">
        <v>6</v>
      </c>
      <c r="D143" s="51" t="s">
        <v>36</v>
      </c>
      <c r="E143" s="52">
        <v>2</v>
      </c>
      <c r="H143" s="9"/>
      <c r="I143" s="50">
        <v>2</v>
      </c>
      <c r="J143" s="51" t="s">
        <v>36</v>
      </c>
      <c r="K143" s="52">
        <v>1</v>
      </c>
    </row>
    <row r="144" spans="2:11" ht="15.75" thickBot="1" x14ac:dyDescent="0.3">
      <c r="C144" s="53"/>
      <c r="D144" s="54"/>
      <c r="E144" s="55"/>
      <c r="I144" s="53"/>
      <c r="J144" s="54"/>
      <c r="K144" s="55"/>
    </row>
    <row r="145" spans="2:11" ht="15.75" thickBot="1" x14ac:dyDescent="0.3"/>
    <row r="146" spans="2:11" ht="15.75" thickBot="1" x14ac:dyDescent="0.3">
      <c r="C146" s="62" t="str">
        <f>IF(C143&gt;E143,"3",IF(C143=E143,"1","0"))</f>
        <v>3</v>
      </c>
      <c r="D146" s="64" t="s">
        <v>0</v>
      </c>
      <c r="E146" s="64" t="str">
        <f>IF(E143&gt;C143,"3",IF(E143=C143,"1","0"))</f>
        <v>0</v>
      </c>
      <c r="I146" s="62" t="str">
        <f>IF(I143&gt;K143,"3",IF(I143=K143,"1","0"))</f>
        <v>3</v>
      </c>
      <c r="J146" s="64" t="s">
        <v>0</v>
      </c>
      <c r="K146" s="64" t="str">
        <f>IF(K143&gt;I143,"3",IF(K143=I143,"1","0"))</f>
        <v>0</v>
      </c>
    </row>
    <row r="147" spans="2:11" ht="15.75" thickBot="1" x14ac:dyDescent="0.3"/>
    <row r="148" spans="2:11" ht="15.75" thickBot="1" x14ac:dyDescent="0.3">
      <c r="B148" s="33" t="s">
        <v>32</v>
      </c>
      <c r="C148" s="34"/>
      <c r="D148" s="60" t="s">
        <v>33</v>
      </c>
      <c r="E148" s="35"/>
      <c r="H148" s="33" t="s">
        <v>32</v>
      </c>
      <c r="I148" s="34"/>
      <c r="J148" s="60" t="s">
        <v>33</v>
      </c>
      <c r="K148" s="35"/>
    </row>
    <row r="149" spans="2:11" ht="15.75" thickBot="1" x14ac:dyDescent="0.3">
      <c r="B149" s="36">
        <f>Spiele!V5</f>
        <v>45685</v>
      </c>
      <c r="C149" s="37"/>
      <c r="D149" s="38"/>
      <c r="E149" s="39"/>
      <c r="H149" s="36">
        <f>Spiele!W5</f>
        <v>45692</v>
      </c>
      <c r="I149" s="37"/>
      <c r="J149" s="38"/>
      <c r="K149" s="39"/>
    </row>
    <row r="150" spans="2:11" x14ac:dyDescent="0.25">
      <c r="B150" s="9"/>
      <c r="C150" s="40" t="s">
        <v>25</v>
      </c>
      <c r="D150" s="41"/>
      <c r="E150" s="42" t="s">
        <v>119</v>
      </c>
      <c r="H150" s="9"/>
      <c r="I150" s="40" t="s">
        <v>119</v>
      </c>
      <c r="J150" s="41"/>
      <c r="K150" s="42" t="s">
        <v>22</v>
      </c>
    </row>
    <row r="151" spans="2:11" x14ac:dyDescent="0.25">
      <c r="B151" s="9"/>
      <c r="C151" s="40" t="s">
        <v>22</v>
      </c>
      <c r="D151" s="43"/>
      <c r="E151" s="42" t="s">
        <v>14</v>
      </c>
      <c r="H151" s="9"/>
      <c r="I151" s="40" t="s">
        <v>13</v>
      </c>
      <c r="J151" s="43"/>
      <c r="K151" s="42" t="s">
        <v>17</v>
      </c>
    </row>
    <row r="152" spans="2:11" x14ac:dyDescent="0.25">
      <c r="B152" s="9"/>
      <c r="C152" s="40" t="s">
        <v>17</v>
      </c>
      <c r="D152" s="41" t="s">
        <v>34</v>
      </c>
      <c r="E152" s="42" t="s">
        <v>16</v>
      </c>
      <c r="H152" s="9"/>
      <c r="I152" s="40" t="s">
        <v>123</v>
      </c>
      <c r="J152" s="41" t="s">
        <v>34</v>
      </c>
      <c r="K152" s="42" t="s">
        <v>21</v>
      </c>
    </row>
    <row r="153" spans="2:11" x14ac:dyDescent="0.25">
      <c r="B153" s="9"/>
      <c r="C153" s="40" t="s">
        <v>15</v>
      </c>
      <c r="D153" s="41"/>
      <c r="E153" s="42" t="s">
        <v>13</v>
      </c>
      <c r="H153" s="9"/>
      <c r="I153" s="40"/>
      <c r="J153" s="41"/>
      <c r="K153" s="42" t="s">
        <v>28</v>
      </c>
    </row>
    <row r="154" spans="2:11" x14ac:dyDescent="0.25">
      <c r="B154" s="9"/>
      <c r="C154" s="40"/>
      <c r="D154" s="41"/>
      <c r="E154" s="42" t="s">
        <v>27</v>
      </c>
      <c r="H154" s="9"/>
      <c r="I154" s="40"/>
      <c r="J154" s="41"/>
      <c r="K154" s="42"/>
    </row>
    <row r="155" spans="2:11" ht="15.75" thickBot="1" x14ac:dyDescent="0.3">
      <c r="B155" s="9"/>
      <c r="C155" s="44"/>
      <c r="D155" s="45"/>
      <c r="E155" s="46"/>
      <c r="H155" s="9"/>
      <c r="I155" s="44"/>
      <c r="J155" s="45"/>
      <c r="K155" s="46"/>
    </row>
    <row r="156" spans="2:11" ht="15.75" thickBot="1" x14ac:dyDescent="0.3">
      <c r="B156" s="9"/>
      <c r="C156" s="9"/>
      <c r="D156" s="9"/>
      <c r="E156" s="9"/>
      <c r="H156" s="9"/>
      <c r="I156" s="9"/>
      <c r="J156" s="9"/>
      <c r="K156" s="9"/>
    </row>
    <row r="157" spans="2:11" ht="15.75" thickBot="1" x14ac:dyDescent="0.3">
      <c r="B157" s="9"/>
      <c r="C157" s="47"/>
      <c r="D157" s="48" t="s">
        <v>35</v>
      </c>
      <c r="E157" s="49"/>
      <c r="H157" s="9"/>
      <c r="I157" s="47"/>
      <c r="J157" s="48" t="s">
        <v>35</v>
      </c>
      <c r="K157" s="49"/>
    </row>
    <row r="158" spans="2:11" x14ac:dyDescent="0.25">
      <c r="B158" s="9"/>
      <c r="C158" s="40"/>
      <c r="D158" s="41"/>
      <c r="E158" s="42"/>
      <c r="H158" s="9"/>
      <c r="I158" s="40"/>
      <c r="J158" s="41"/>
      <c r="K158" s="42"/>
    </row>
    <row r="159" spans="2:11" x14ac:dyDescent="0.25">
      <c r="B159" s="9"/>
      <c r="C159" s="50">
        <v>4</v>
      </c>
      <c r="D159" s="51" t="s">
        <v>36</v>
      </c>
      <c r="E159" s="52">
        <v>0</v>
      </c>
      <c r="H159" s="9"/>
      <c r="I159" s="50">
        <v>10</v>
      </c>
      <c r="J159" s="51" t="s">
        <v>36</v>
      </c>
      <c r="K159" s="52">
        <v>2</v>
      </c>
    </row>
    <row r="160" spans="2:11" ht="15.75" thickBot="1" x14ac:dyDescent="0.3">
      <c r="C160" s="53"/>
      <c r="D160" s="54"/>
      <c r="E160" s="55"/>
      <c r="I160" s="53"/>
      <c r="J160" s="54"/>
      <c r="K160" s="55"/>
    </row>
    <row r="161" spans="2:11" ht="15.75" thickBot="1" x14ac:dyDescent="0.3"/>
    <row r="162" spans="2:11" ht="15.75" thickBot="1" x14ac:dyDescent="0.3">
      <c r="C162" s="62" t="str">
        <f>IF(C159&gt;E159,"3",IF(C159=E159,"1","0"))</f>
        <v>3</v>
      </c>
      <c r="D162" s="64" t="s">
        <v>0</v>
      </c>
      <c r="E162" s="64" t="str">
        <f>IF(E159&gt;C159,"3",IF(E159=C159,"1","0"))</f>
        <v>0</v>
      </c>
      <c r="I162" s="62" t="str">
        <f>IF(I159&gt;K159,"3",IF(I159=K159,"1","0"))</f>
        <v>3</v>
      </c>
      <c r="J162" s="64" t="s">
        <v>0</v>
      </c>
      <c r="K162" s="64" t="str">
        <f>IF(K159&gt;I159,"3",IF(K159=I159,"1","0"))</f>
        <v>0</v>
      </c>
    </row>
    <row r="163" spans="2:11" ht="15.75" thickBot="1" x14ac:dyDescent="0.3"/>
    <row r="164" spans="2:11" ht="15.75" thickBot="1" x14ac:dyDescent="0.3">
      <c r="B164" s="33" t="s">
        <v>32</v>
      </c>
      <c r="C164" s="34"/>
      <c r="D164" s="60" t="s">
        <v>33</v>
      </c>
      <c r="E164" s="35"/>
      <c r="H164" s="33" t="s">
        <v>32</v>
      </c>
      <c r="I164" s="34"/>
      <c r="J164" s="60" t="s">
        <v>33</v>
      </c>
      <c r="K164" s="35"/>
    </row>
    <row r="165" spans="2:11" ht="15.75" thickBot="1" x14ac:dyDescent="0.3">
      <c r="B165" s="36">
        <f>Spiele!X5</f>
        <v>45699</v>
      </c>
      <c r="C165" s="37"/>
      <c r="D165" s="38"/>
      <c r="E165" s="39"/>
      <c r="H165" s="36">
        <f>Spiele!Y5</f>
        <v>45706</v>
      </c>
      <c r="I165" s="37"/>
      <c r="J165" s="38"/>
      <c r="K165" s="39"/>
    </row>
    <row r="166" spans="2:11" x14ac:dyDescent="0.25">
      <c r="B166" s="9"/>
      <c r="C166" s="40" t="s">
        <v>119</v>
      </c>
      <c r="D166" s="41"/>
      <c r="E166" s="42" t="s">
        <v>22</v>
      </c>
      <c r="H166" s="9"/>
      <c r="I166" s="40" t="s">
        <v>25</v>
      </c>
      <c r="J166" s="41"/>
      <c r="K166" s="42" t="s">
        <v>119</v>
      </c>
    </row>
    <row r="167" spans="2:11" x14ac:dyDescent="0.25">
      <c r="B167" s="9"/>
      <c r="C167" s="40" t="s">
        <v>16</v>
      </c>
      <c r="D167" s="43"/>
      <c r="E167" s="42" t="s">
        <v>21</v>
      </c>
      <c r="H167" s="9"/>
      <c r="I167" s="40" t="s">
        <v>22</v>
      </c>
      <c r="J167" s="43"/>
      <c r="K167" s="42" t="s">
        <v>14</v>
      </c>
    </row>
    <row r="168" spans="2:11" x14ac:dyDescent="0.25">
      <c r="B168" s="9"/>
      <c r="C168" s="40" t="s">
        <v>13</v>
      </c>
      <c r="D168" s="41" t="s">
        <v>34</v>
      </c>
      <c r="E168" s="42" t="s">
        <v>123</v>
      </c>
      <c r="H168" s="9"/>
      <c r="I168" s="40" t="s">
        <v>16</v>
      </c>
      <c r="J168" s="41" t="s">
        <v>34</v>
      </c>
      <c r="K168" s="42" t="s">
        <v>21</v>
      </c>
    </row>
    <row r="169" spans="2:11" x14ac:dyDescent="0.25">
      <c r="B169" s="9"/>
      <c r="C169" s="40" t="s">
        <v>27</v>
      </c>
      <c r="D169" s="41"/>
      <c r="E169" s="42" t="s">
        <v>28</v>
      </c>
      <c r="H169" s="9"/>
      <c r="I169" s="40" t="s">
        <v>13</v>
      </c>
      <c r="J169" s="41"/>
      <c r="K169" s="42" t="s">
        <v>27</v>
      </c>
    </row>
    <row r="170" spans="2:11" x14ac:dyDescent="0.25">
      <c r="B170" s="9"/>
      <c r="C170" s="40"/>
      <c r="D170" s="41"/>
      <c r="E170" s="42"/>
      <c r="H170" s="9"/>
      <c r="I170" s="40" t="s">
        <v>15</v>
      </c>
      <c r="J170" s="41"/>
      <c r="K170" s="42" t="s">
        <v>28</v>
      </c>
    </row>
    <row r="171" spans="2:11" ht="15.75" thickBot="1" x14ac:dyDescent="0.3">
      <c r="B171" s="9"/>
      <c r="C171" s="44"/>
      <c r="D171" s="45"/>
      <c r="E171" s="46"/>
      <c r="H171" s="9"/>
      <c r="I171" s="44"/>
      <c r="J171" s="45"/>
      <c r="K171" s="46" t="s">
        <v>19</v>
      </c>
    </row>
    <row r="172" spans="2:11" ht="15.75" thickBot="1" x14ac:dyDescent="0.3">
      <c r="B172" s="9"/>
      <c r="C172" s="9"/>
      <c r="D172" s="9"/>
      <c r="E172" s="9"/>
      <c r="H172" s="9"/>
      <c r="I172" s="9"/>
      <c r="J172" s="9"/>
      <c r="K172" s="9"/>
    </row>
    <row r="173" spans="2:11" ht="15.75" thickBot="1" x14ac:dyDescent="0.3">
      <c r="B173" s="9"/>
      <c r="C173" s="47"/>
      <c r="D173" s="48" t="s">
        <v>35</v>
      </c>
      <c r="E173" s="49"/>
      <c r="H173" s="9"/>
      <c r="I173" s="47"/>
      <c r="J173" s="48" t="s">
        <v>35</v>
      </c>
      <c r="K173" s="49"/>
    </row>
    <row r="174" spans="2:11" x14ac:dyDescent="0.25">
      <c r="B174" s="9"/>
      <c r="C174" s="40"/>
      <c r="D174" s="41"/>
      <c r="E174" s="42"/>
      <c r="H174" s="9"/>
      <c r="I174" s="40"/>
      <c r="J174" s="41"/>
      <c r="K174" s="42"/>
    </row>
    <row r="175" spans="2:11" x14ac:dyDescent="0.25">
      <c r="B175" s="9"/>
      <c r="C175" s="50">
        <v>7</v>
      </c>
      <c r="D175" s="51" t="s">
        <v>36</v>
      </c>
      <c r="E175" s="52">
        <v>3</v>
      </c>
      <c r="H175" s="9"/>
      <c r="I175" s="50">
        <v>4</v>
      </c>
      <c r="J175" s="51" t="s">
        <v>36</v>
      </c>
      <c r="K175" s="52">
        <v>0</v>
      </c>
    </row>
    <row r="176" spans="2:11" ht="15.75" thickBot="1" x14ac:dyDescent="0.3">
      <c r="C176" s="53"/>
      <c r="D176" s="54"/>
      <c r="E176" s="55"/>
      <c r="I176" s="53"/>
      <c r="J176" s="54"/>
      <c r="K176" s="55"/>
    </row>
    <row r="177" spans="2:11" ht="15.75" thickBot="1" x14ac:dyDescent="0.3"/>
    <row r="178" spans="2:11" ht="15.75" thickBot="1" x14ac:dyDescent="0.3">
      <c r="C178" s="62" t="str">
        <f>IF(C175&gt;E175,"3",IF(C175=E175,"1","0"))</f>
        <v>3</v>
      </c>
      <c r="D178" s="64" t="s">
        <v>0</v>
      </c>
      <c r="E178" s="64" t="str">
        <f>IF(E175&gt;C175,"3",IF(E175=C175,"1","0"))</f>
        <v>0</v>
      </c>
      <c r="I178" s="62" t="str">
        <f>IF(I175&gt;K175,"3",IF(I175=K175,"1","0"))</f>
        <v>3</v>
      </c>
      <c r="J178" s="64" t="s">
        <v>0</v>
      </c>
      <c r="K178" s="64" t="str">
        <f>IF(K175&gt;I175,"3",IF(K175=I175,"1","0"))</f>
        <v>0</v>
      </c>
    </row>
    <row r="179" spans="2:11" ht="15.75" thickBot="1" x14ac:dyDescent="0.3"/>
    <row r="180" spans="2:11" ht="15.75" thickBot="1" x14ac:dyDescent="0.3">
      <c r="B180" s="33" t="s">
        <v>32</v>
      </c>
      <c r="C180" s="34"/>
      <c r="D180" s="60" t="s">
        <v>33</v>
      </c>
      <c r="E180" s="35"/>
      <c r="H180" s="33" t="s">
        <v>32</v>
      </c>
      <c r="I180" s="34"/>
      <c r="J180" s="60" t="s">
        <v>33</v>
      </c>
      <c r="K180" s="35"/>
    </row>
    <row r="181" spans="2:11" ht="15.75" thickBot="1" x14ac:dyDescent="0.3">
      <c r="B181" s="36">
        <f>Spiele!Z5</f>
        <v>45713</v>
      </c>
      <c r="C181" s="37"/>
      <c r="D181" s="38"/>
      <c r="E181" s="39"/>
      <c r="H181" s="36">
        <f>Spiele!AA5</f>
        <v>45720</v>
      </c>
      <c r="I181" s="37"/>
      <c r="J181" s="38"/>
      <c r="K181" s="39"/>
    </row>
    <row r="182" spans="2:11" x14ac:dyDescent="0.25">
      <c r="B182" s="9"/>
      <c r="C182" s="40" t="s">
        <v>17</v>
      </c>
      <c r="D182" s="41"/>
      <c r="E182" s="42" t="s">
        <v>14</v>
      </c>
      <c r="H182" s="9"/>
      <c r="I182" s="40" t="s">
        <v>22</v>
      </c>
      <c r="J182" s="41"/>
      <c r="K182" s="42" t="s">
        <v>25</v>
      </c>
    </row>
    <row r="183" spans="2:11" x14ac:dyDescent="0.25">
      <c r="B183" s="9"/>
      <c r="C183" s="40" t="s">
        <v>21</v>
      </c>
      <c r="D183" s="43"/>
      <c r="E183" s="42" t="s">
        <v>22</v>
      </c>
      <c r="H183" s="9"/>
      <c r="I183" s="40" t="s">
        <v>21</v>
      </c>
      <c r="J183" s="43"/>
      <c r="K183" s="42" t="s">
        <v>17</v>
      </c>
    </row>
    <row r="184" spans="2:11" x14ac:dyDescent="0.25">
      <c r="B184" s="9"/>
      <c r="C184" s="40" t="s">
        <v>123</v>
      </c>
      <c r="D184" s="41" t="s">
        <v>34</v>
      </c>
      <c r="E184" s="42" t="s">
        <v>13</v>
      </c>
      <c r="H184" s="9"/>
      <c r="I184" s="40" t="s">
        <v>13</v>
      </c>
      <c r="J184" s="41" t="s">
        <v>34</v>
      </c>
      <c r="K184" s="42" t="s">
        <v>15</v>
      </c>
    </row>
    <row r="185" spans="2:11" x14ac:dyDescent="0.25">
      <c r="B185" s="9"/>
      <c r="C185" s="40" t="s">
        <v>28</v>
      </c>
      <c r="D185" s="41"/>
      <c r="E185" s="42"/>
      <c r="H185" s="9"/>
      <c r="I185" s="40" t="s">
        <v>123</v>
      </c>
      <c r="J185" s="41"/>
      <c r="K185" s="42" t="s">
        <v>27</v>
      </c>
    </row>
    <row r="186" spans="2:11" x14ac:dyDescent="0.25">
      <c r="B186" s="9"/>
      <c r="C186" s="40"/>
      <c r="D186" s="41"/>
      <c r="E186" s="42"/>
      <c r="H186" s="9"/>
      <c r="I186" s="40" t="s">
        <v>28</v>
      </c>
      <c r="J186" s="41"/>
      <c r="K186" s="42"/>
    </row>
    <row r="187" spans="2:11" ht="15.75" thickBot="1" x14ac:dyDescent="0.3">
      <c r="B187" s="9"/>
      <c r="C187" s="44"/>
      <c r="D187" s="45"/>
      <c r="E187" s="46"/>
      <c r="H187" s="9"/>
      <c r="I187" s="44"/>
      <c r="J187" s="45"/>
      <c r="K187" s="46"/>
    </row>
    <row r="188" spans="2:11" ht="15.75" thickBot="1" x14ac:dyDescent="0.3">
      <c r="B188" s="9"/>
      <c r="C188" s="9"/>
      <c r="D188" s="9"/>
      <c r="E188" s="9"/>
      <c r="H188" s="9"/>
      <c r="I188" s="9"/>
      <c r="J188" s="9"/>
      <c r="K188" s="9"/>
    </row>
    <row r="189" spans="2:11" ht="15.75" thickBot="1" x14ac:dyDescent="0.3">
      <c r="B189" s="9"/>
      <c r="C189" s="47"/>
      <c r="D189" s="48" t="s">
        <v>35</v>
      </c>
      <c r="E189" s="49"/>
      <c r="H189" s="9"/>
      <c r="I189" s="47"/>
      <c r="J189" s="48" t="s">
        <v>35</v>
      </c>
      <c r="K189" s="49"/>
    </row>
    <row r="190" spans="2:11" x14ac:dyDescent="0.25">
      <c r="B190" s="9"/>
      <c r="C190" s="40"/>
      <c r="D190" s="41"/>
      <c r="E190" s="42"/>
      <c r="H190" s="9"/>
      <c r="I190" s="40"/>
      <c r="J190" s="41"/>
      <c r="K190" s="42"/>
    </row>
    <row r="191" spans="2:11" x14ac:dyDescent="0.25">
      <c r="B191" s="9"/>
      <c r="C191" s="50">
        <v>7</v>
      </c>
      <c r="D191" s="51" t="s">
        <v>36</v>
      </c>
      <c r="E191" s="52">
        <v>3</v>
      </c>
      <c r="H191" s="9"/>
      <c r="I191" s="50">
        <v>8</v>
      </c>
      <c r="J191" s="51" t="s">
        <v>36</v>
      </c>
      <c r="K191" s="52">
        <v>2</v>
      </c>
    </row>
    <row r="192" spans="2:11" ht="15.75" thickBot="1" x14ac:dyDescent="0.3">
      <c r="C192" s="53"/>
      <c r="D192" s="54"/>
      <c r="E192" s="55"/>
      <c r="I192" s="53"/>
      <c r="J192" s="54"/>
      <c r="K192" s="55"/>
    </row>
    <row r="193" spans="2:11" ht="15.75" thickBot="1" x14ac:dyDescent="0.3"/>
    <row r="194" spans="2:11" ht="15.75" thickBot="1" x14ac:dyDescent="0.3">
      <c r="C194" s="62" t="str">
        <f>IF(C191&gt;E191,"3",IF(C191=E191,"1","0"))</f>
        <v>3</v>
      </c>
      <c r="D194" s="64" t="s">
        <v>0</v>
      </c>
      <c r="E194" s="64" t="str">
        <f>IF(E191&gt;C191,"3",IF(E191=C191,"1","0"))</f>
        <v>0</v>
      </c>
      <c r="I194" s="62" t="str">
        <f>IF(I191&gt;K191,"3",IF(I191=K191,"1","0"))</f>
        <v>3</v>
      </c>
      <c r="J194" s="64" t="s">
        <v>0</v>
      </c>
      <c r="K194" s="64" t="str">
        <f>IF(K191&gt;I191,"3",IF(K191=I191,"1","0"))</f>
        <v>0</v>
      </c>
    </row>
    <row r="195" spans="2:11" ht="15.75" thickBot="1" x14ac:dyDescent="0.3"/>
    <row r="196" spans="2:11" ht="15.75" thickBot="1" x14ac:dyDescent="0.3">
      <c r="B196" s="33" t="s">
        <v>32</v>
      </c>
      <c r="C196" s="34"/>
      <c r="D196" s="60" t="s">
        <v>33</v>
      </c>
      <c r="E196" s="35"/>
      <c r="H196" s="33" t="s">
        <v>32</v>
      </c>
      <c r="I196" s="34"/>
      <c r="J196" s="60" t="s">
        <v>33</v>
      </c>
      <c r="K196" s="35"/>
    </row>
    <row r="197" spans="2:11" ht="15.75" thickBot="1" x14ac:dyDescent="0.3">
      <c r="B197" s="36">
        <f>Spiele!AB5</f>
        <v>45727</v>
      </c>
      <c r="C197" s="37"/>
      <c r="D197" s="38"/>
      <c r="E197" s="39"/>
      <c r="H197" s="36">
        <f>Spiele!AC5</f>
        <v>45734</v>
      </c>
      <c r="I197" s="37"/>
      <c r="J197" s="38"/>
      <c r="K197" s="39"/>
    </row>
    <row r="198" spans="2:11" x14ac:dyDescent="0.25">
      <c r="B198" s="9"/>
      <c r="C198" s="40" t="s">
        <v>14</v>
      </c>
      <c r="D198" s="41"/>
      <c r="E198" s="42" t="s">
        <v>119</v>
      </c>
      <c r="H198" s="9"/>
      <c r="I198" s="40" t="s">
        <v>25</v>
      </c>
      <c r="J198" s="41"/>
      <c r="K198" s="42" t="s">
        <v>119</v>
      </c>
    </row>
    <row r="199" spans="2:11" x14ac:dyDescent="0.25">
      <c r="B199" s="9"/>
      <c r="C199" s="40" t="s">
        <v>22</v>
      </c>
      <c r="D199" s="43"/>
      <c r="E199" s="42" t="s">
        <v>17</v>
      </c>
      <c r="H199" s="9"/>
      <c r="I199" s="40" t="s">
        <v>17</v>
      </c>
      <c r="J199" s="43"/>
      <c r="K199" s="42" t="s">
        <v>14</v>
      </c>
    </row>
    <row r="200" spans="2:11" x14ac:dyDescent="0.25">
      <c r="B200" s="9"/>
      <c r="C200" s="40" t="s">
        <v>16</v>
      </c>
      <c r="D200" s="41" t="s">
        <v>34</v>
      </c>
      <c r="E200" s="42" t="s">
        <v>21</v>
      </c>
      <c r="F200" s="257"/>
      <c r="H200" s="9"/>
      <c r="I200" s="40" t="s">
        <v>21</v>
      </c>
      <c r="J200" s="41" t="s">
        <v>34</v>
      </c>
      <c r="K200" s="42" t="s">
        <v>22</v>
      </c>
    </row>
    <row r="201" spans="2:11" x14ac:dyDescent="0.25">
      <c r="B201" s="9"/>
      <c r="C201" s="40" t="s">
        <v>123</v>
      </c>
      <c r="D201" s="41"/>
      <c r="E201" s="42" t="s">
        <v>13</v>
      </c>
      <c r="H201" s="9"/>
      <c r="I201" s="40" t="s">
        <v>15</v>
      </c>
      <c r="J201" s="41"/>
      <c r="K201" s="42" t="s">
        <v>16</v>
      </c>
    </row>
    <row r="202" spans="2:11" x14ac:dyDescent="0.25">
      <c r="B202" s="9"/>
      <c r="C202" s="40" t="s">
        <v>28</v>
      </c>
      <c r="D202" s="41"/>
      <c r="E202" s="42" t="s">
        <v>15</v>
      </c>
      <c r="H202" s="9"/>
      <c r="I202" s="40" t="s">
        <v>27</v>
      </c>
      <c r="J202" s="41"/>
      <c r="K202" s="42" t="s">
        <v>13</v>
      </c>
    </row>
    <row r="203" spans="2:11" ht="15.75" thickBot="1" x14ac:dyDescent="0.3">
      <c r="B203" s="9"/>
      <c r="C203" s="44" t="s">
        <v>19</v>
      </c>
      <c r="D203" s="45"/>
      <c r="E203" s="46"/>
      <c r="H203" s="9"/>
      <c r="I203" s="44"/>
      <c r="J203" s="45"/>
      <c r="K203" s="46"/>
    </row>
    <row r="204" spans="2:11" ht="15.75" thickBot="1" x14ac:dyDescent="0.3">
      <c r="B204" s="9"/>
      <c r="C204" s="9"/>
      <c r="D204" s="9"/>
      <c r="E204" s="9"/>
      <c r="H204" s="9"/>
      <c r="I204" s="9"/>
      <c r="J204" s="9"/>
      <c r="K204" s="9"/>
    </row>
    <row r="205" spans="2:11" ht="15.75" thickBot="1" x14ac:dyDescent="0.3">
      <c r="B205" s="9"/>
      <c r="C205" s="47"/>
      <c r="D205" s="48" t="s">
        <v>35</v>
      </c>
      <c r="E205" s="49"/>
      <c r="H205" s="9"/>
      <c r="I205" s="47"/>
      <c r="J205" s="48" t="s">
        <v>35</v>
      </c>
      <c r="K205" s="49"/>
    </row>
    <row r="206" spans="2:11" x14ac:dyDescent="0.25">
      <c r="B206" s="9"/>
      <c r="C206" s="40"/>
      <c r="D206" s="41"/>
      <c r="E206" s="42"/>
      <c r="H206" s="9"/>
      <c r="I206" s="40"/>
      <c r="J206" s="41"/>
      <c r="K206" s="42"/>
    </row>
    <row r="207" spans="2:11" x14ac:dyDescent="0.25">
      <c r="B207" s="9"/>
      <c r="C207" s="50">
        <v>3</v>
      </c>
      <c r="D207" s="51" t="s">
        <v>36</v>
      </c>
      <c r="E207" s="52">
        <v>1</v>
      </c>
      <c r="H207" s="9"/>
      <c r="I207" s="50">
        <v>5</v>
      </c>
      <c r="J207" s="51" t="s">
        <v>36</v>
      </c>
      <c r="K207" s="52">
        <v>2</v>
      </c>
    </row>
    <row r="208" spans="2:11" ht="15.75" thickBot="1" x14ac:dyDescent="0.3">
      <c r="C208" s="53"/>
      <c r="D208" s="54"/>
      <c r="E208" s="55"/>
      <c r="I208" s="53"/>
      <c r="J208" s="54"/>
      <c r="K208" s="55"/>
    </row>
    <row r="209" spans="2:11" ht="15.75" thickBot="1" x14ac:dyDescent="0.3"/>
    <row r="210" spans="2:11" ht="15.75" thickBot="1" x14ac:dyDescent="0.3">
      <c r="C210" s="62" t="str">
        <f>IF(C207&gt;E207,"3",IF(C207=E207,"1","0"))</f>
        <v>3</v>
      </c>
      <c r="D210" s="64" t="s">
        <v>0</v>
      </c>
      <c r="E210" s="64" t="str">
        <f>IF(E207&gt;C207,"3",IF(E207=C207,"1","0"))</f>
        <v>0</v>
      </c>
      <c r="I210" s="62" t="str">
        <f>IF(I207&gt;K207,"3",IF(I207=K207,"1","0"))</f>
        <v>3</v>
      </c>
      <c r="J210" s="64" t="s">
        <v>0</v>
      </c>
      <c r="K210" s="64" t="str">
        <f>IF(K207&gt;I207,"3",IF(K207=I207,"1","0"))</f>
        <v>0</v>
      </c>
    </row>
    <row r="211" spans="2:11" ht="15.75" thickBot="1" x14ac:dyDescent="0.3"/>
    <row r="212" spans="2:11" ht="15.75" thickBot="1" x14ac:dyDescent="0.3">
      <c r="B212" s="33" t="s">
        <v>32</v>
      </c>
      <c r="C212" s="34"/>
      <c r="D212" s="60" t="s">
        <v>33</v>
      </c>
      <c r="E212" s="35"/>
      <c r="H212" s="33" t="s">
        <v>32</v>
      </c>
      <c r="I212" s="34"/>
      <c r="J212" s="60" t="s">
        <v>33</v>
      </c>
      <c r="K212" s="35"/>
    </row>
    <row r="213" spans="2:11" ht="15.75" thickBot="1" x14ac:dyDescent="0.3">
      <c r="B213" s="36">
        <f>Spiele!AD5</f>
        <v>45741</v>
      </c>
      <c r="C213" s="37"/>
      <c r="D213" s="38"/>
      <c r="E213" s="39"/>
      <c r="H213" s="36">
        <f>Spiele!AE5</f>
        <v>45748</v>
      </c>
      <c r="I213" s="37"/>
      <c r="J213" s="38"/>
      <c r="K213" s="39"/>
    </row>
    <row r="214" spans="2:11" x14ac:dyDescent="0.25">
      <c r="B214" s="9"/>
      <c r="C214" s="40" t="s">
        <v>14</v>
      </c>
      <c r="D214" s="41"/>
      <c r="E214" s="42" t="s">
        <v>119</v>
      </c>
      <c r="H214" s="9"/>
      <c r="I214" s="40" t="s">
        <v>14</v>
      </c>
      <c r="J214" s="41"/>
      <c r="K214" s="42" t="s">
        <v>119</v>
      </c>
    </row>
    <row r="215" spans="2:11" x14ac:dyDescent="0.25">
      <c r="B215" s="9"/>
      <c r="C215" s="40" t="s">
        <v>21</v>
      </c>
      <c r="D215" s="43"/>
      <c r="E215" s="42" t="s">
        <v>17</v>
      </c>
      <c r="H215" s="9"/>
      <c r="I215" s="40" t="s">
        <v>22</v>
      </c>
      <c r="J215" s="43"/>
      <c r="K215" s="42" t="s">
        <v>25</v>
      </c>
    </row>
    <row r="216" spans="2:11" x14ac:dyDescent="0.25">
      <c r="B216" s="9"/>
      <c r="C216" s="40" t="s">
        <v>13</v>
      </c>
      <c r="D216" s="41" t="s">
        <v>34</v>
      </c>
      <c r="E216" s="42" t="s">
        <v>16</v>
      </c>
      <c r="H216" s="9"/>
      <c r="I216" s="40" t="s">
        <v>16</v>
      </c>
      <c r="J216" s="41" t="s">
        <v>34</v>
      </c>
      <c r="K216" s="42" t="s">
        <v>17</v>
      </c>
    </row>
    <row r="217" spans="2:11" x14ac:dyDescent="0.25">
      <c r="B217" s="9"/>
      <c r="C217" s="40" t="s">
        <v>28</v>
      </c>
      <c r="D217" s="41"/>
      <c r="E217" s="42" t="s">
        <v>122</v>
      </c>
      <c r="H217" s="9"/>
      <c r="I217" s="40" t="s">
        <v>13</v>
      </c>
      <c r="J217" s="41"/>
      <c r="K217" s="42" t="s">
        <v>21</v>
      </c>
    </row>
    <row r="218" spans="2:11" x14ac:dyDescent="0.25">
      <c r="B218" s="9"/>
      <c r="C218" s="40"/>
      <c r="D218" s="41"/>
      <c r="E218" s="42"/>
      <c r="H218" s="9"/>
      <c r="I218" s="40" t="s">
        <v>122</v>
      </c>
      <c r="J218" s="41"/>
      <c r="K218" s="42" t="s">
        <v>27</v>
      </c>
    </row>
    <row r="219" spans="2:11" ht="15.75" thickBot="1" x14ac:dyDescent="0.3">
      <c r="B219" s="9"/>
      <c r="C219" s="44"/>
      <c r="D219" s="45"/>
      <c r="E219" s="46"/>
      <c r="H219" s="9"/>
      <c r="I219" s="44"/>
      <c r="J219" s="45"/>
      <c r="K219" s="46"/>
    </row>
    <row r="220" spans="2:11" ht="15.75" thickBot="1" x14ac:dyDescent="0.3">
      <c r="B220" s="9"/>
      <c r="C220" s="9"/>
      <c r="D220" s="9"/>
      <c r="E220" s="9"/>
      <c r="H220" s="9"/>
      <c r="I220" s="9"/>
      <c r="J220" s="9"/>
      <c r="K220" s="9"/>
    </row>
    <row r="221" spans="2:11" ht="15.75" thickBot="1" x14ac:dyDescent="0.3">
      <c r="B221" s="9"/>
      <c r="C221" s="47"/>
      <c r="D221" s="48" t="s">
        <v>35</v>
      </c>
      <c r="E221" s="49"/>
      <c r="H221" s="9"/>
      <c r="I221" s="47"/>
      <c r="J221" s="48" t="s">
        <v>35</v>
      </c>
      <c r="K221" s="49"/>
    </row>
    <row r="222" spans="2:11" x14ac:dyDescent="0.25">
      <c r="B222" s="9"/>
      <c r="C222" s="40"/>
      <c r="D222" s="41"/>
      <c r="E222" s="42"/>
      <c r="H222" s="9"/>
      <c r="I222" s="40"/>
      <c r="J222" s="41"/>
      <c r="K222" s="42"/>
    </row>
    <row r="223" spans="2:11" x14ac:dyDescent="0.25">
      <c r="B223" s="9"/>
      <c r="C223" s="50">
        <v>5</v>
      </c>
      <c r="D223" s="51" t="s">
        <v>36</v>
      </c>
      <c r="E223" s="52">
        <v>3</v>
      </c>
      <c r="H223" s="9"/>
      <c r="I223" s="50">
        <v>5</v>
      </c>
      <c r="J223" s="51" t="s">
        <v>36</v>
      </c>
      <c r="K223" s="52">
        <v>4</v>
      </c>
    </row>
    <row r="224" spans="2:11" ht="15.75" thickBot="1" x14ac:dyDescent="0.3">
      <c r="C224" s="53"/>
      <c r="D224" s="54"/>
      <c r="E224" s="55"/>
      <c r="I224" s="53"/>
      <c r="J224" s="54"/>
      <c r="K224" s="55"/>
    </row>
    <row r="225" spans="2:11" ht="15.75" thickBot="1" x14ac:dyDescent="0.3"/>
    <row r="226" spans="2:11" ht="15.75" thickBot="1" x14ac:dyDescent="0.3">
      <c r="C226" s="62" t="str">
        <f>IF(C223&gt;E223,"3",IF(C223=E223,"1","0"))</f>
        <v>3</v>
      </c>
      <c r="D226" s="64" t="s">
        <v>0</v>
      </c>
      <c r="E226" s="64" t="str">
        <f>IF(E223&gt;C223,"3",IF(E223=C223,"1","0"))</f>
        <v>0</v>
      </c>
      <c r="I226" s="62" t="str">
        <f>IF(I223&gt;K223,"3",IF(I223=K223,"1","0"))</f>
        <v>3</v>
      </c>
      <c r="J226" s="64" t="s">
        <v>0</v>
      </c>
      <c r="K226" s="64" t="str">
        <f>IF(K223&gt;I223,"3",IF(K223=I223,"1","0"))</f>
        <v>0</v>
      </c>
    </row>
    <row r="227" spans="2:11" ht="15.75" thickBot="1" x14ac:dyDescent="0.3"/>
    <row r="228" spans="2:11" ht="15.75" thickBot="1" x14ac:dyDescent="0.3">
      <c r="B228" s="33" t="s">
        <v>32</v>
      </c>
      <c r="C228" s="34"/>
      <c r="D228" s="60" t="s">
        <v>33</v>
      </c>
      <c r="E228" s="35"/>
      <c r="H228" s="33" t="s">
        <v>32</v>
      </c>
      <c r="I228" s="34"/>
      <c r="J228" s="60" t="s">
        <v>33</v>
      </c>
      <c r="K228" s="35"/>
    </row>
    <row r="229" spans="2:11" ht="15.75" thickBot="1" x14ac:dyDescent="0.3">
      <c r="B229" s="36">
        <f>Spiele!AF5</f>
        <v>45755</v>
      </c>
      <c r="C229" s="37"/>
      <c r="D229" s="38"/>
      <c r="E229" s="39"/>
      <c r="H229" s="36">
        <f>Spiele!AG5</f>
        <v>45762</v>
      </c>
      <c r="I229" s="37"/>
      <c r="J229" s="38"/>
      <c r="K229" s="39"/>
    </row>
    <row r="230" spans="2:11" x14ac:dyDescent="0.25">
      <c r="B230" s="9"/>
      <c r="C230" s="40" t="s">
        <v>119</v>
      </c>
      <c r="D230" s="41"/>
      <c r="E230" s="42" t="s">
        <v>25</v>
      </c>
      <c r="H230" s="9"/>
      <c r="I230" s="40" t="s">
        <v>25</v>
      </c>
      <c r="J230" s="41"/>
      <c r="K230" s="42" t="s">
        <v>14</v>
      </c>
    </row>
    <row r="231" spans="2:11" x14ac:dyDescent="0.25">
      <c r="B231" s="9"/>
      <c r="C231" s="40" t="s">
        <v>16</v>
      </c>
      <c r="D231" s="43"/>
      <c r="E231" s="42" t="s">
        <v>22</v>
      </c>
      <c r="H231" s="9"/>
      <c r="I231" s="40" t="s">
        <v>22</v>
      </c>
      <c r="J231" s="43"/>
      <c r="K231" s="42" t="s">
        <v>21</v>
      </c>
    </row>
    <row r="232" spans="2:11" x14ac:dyDescent="0.25">
      <c r="B232" s="9"/>
      <c r="C232" s="40" t="s">
        <v>122</v>
      </c>
      <c r="D232" s="41" t="s">
        <v>34</v>
      </c>
      <c r="E232" s="42" t="s">
        <v>17</v>
      </c>
      <c r="H232" s="9"/>
      <c r="I232" s="40" t="s">
        <v>17</v>
      </c>
      <c r="J232" s="41" t="s">
        <v>34</v>
      </c>
      <c r="K232" s="42" t="s">
        <v>122</v>
      </c>
    </row>
    <row r="233" spans="2:11" x14ac:dyDescent="0.25">
      <c r="B233" s="9"/>
      <c r="C233" s="40" t="s">
        <v>123</v>
      </c>
      <c r="D233" s="41"/>
      <c r="E233" s="42" t="s">
        <v>21</v>
      </c>
      <c r="H233" s="9"/>
      <c r="I233" s="40" t="s">
        <v>15</v>
      </c>
      <c r="J233" s="41"/>
      <c r="K233" s="42" t="s">
        <v>123</v>
      </c>
    </row>
    <row r="234" spans="2:11" x14ac:dyDescent="0.25">
      <c r="B234" s="9"/>
      <c r="C234" s="40" t="s">
        <v>27</v>
      </c>
      <c r="D234" s="41"/>
      <c r="E234" s="42" t="s">
        <v>15</v>
      </c>
      <c r="H234" s="9"/>
      <c r="I234" s="40" t="s">
        <v>27</v>
      </c>
      <c r="J234" s="41"/>
      <c r="K234" s="42" t="s">
        <v>28</v>
      </c>
    </row>
    <row r="235" spans="2:11" ht="15.75" thickBot="1" x14ac:dyDescent="0.3">
      <c r="B235" s="9"/>
      <c r="C235" s="44" t="s">
        <v>28</v>
      </c>
      <c r="D235" s="45"/>
      <c r="E235" s="46"/>
      <c r="H235" s="9"/>
      <c r="I235" s="44"/>
      <c r="J235" s="45"/>
      <c r="K235" s="46"/>
    </row>
    <row r="236" spans="2:11" ht="15.75" thickBot="1" x14ac:dyDescent="0.3">
      <c r="B236" s="9"/>
      <c r="C236" s="9"/>
      <c r="D236" s="9"/>
      <c r="E236" s="9"/>
      <c r="H236" s="9"/>
      <c r="I236" s="9"/>
      <c r="J236" s="9"/>
      <c r="K236" s="9"/>
    </row>
    <row r="237" spans="2:11" ht="15.75" thickBot="1" x14ac:dyDescent="0.3">
      <c r="B237" s="9"/>
      <c r="C237" s="47"/>
      <c r="D237" s="48" t="s">
        <v>35</v>
      </c>
      <c r="E237" s="49"/>
      <c r="H237" s="9"/>
      <c r="I237" s="47"/>
      <c r="J237" s="48" t="s">
        <v>35</v>
      </c>
      <c r="K237" s="49"/>
    </row>
    <row r="238" spans="2:11" x14ac:dyDescent="0.25">
      <c r="B238" s="9"/>
      <c r="C238" s="40"/>
      <c r="D238" s="41"/>
      <c r="E238" s="42"/>
      <c r="H238" s="9"/>
      <c r="I238" s="40"/>
      <c r="J238" s="41"/>
      <c r="K238" s="42"/>
    </row>
    <row r="239" spans="2:11" x14ac:dyDescent="0.25">
      <c r="B239" s="9"/>
      <c r="C239" s="50">
        <v>4</v>
      </c>
      <c r="D239" s="51" t="s">
        <v>36</v>
      </c>
      <c r="E239" s="52">
        <v>0</v>
      </c>
      <c r="H239" s="9"/>
      <c r="I239" s="50">
        <v>5</v>
      </c>
      <c r="J239" s="51" t="s">
        <v>36</v>
      </c>
      <c r="K239" s="52">
        <v>1</v>
      </c>
    </row>
    <row r="240" spans="2:11" ht="15.75" thickBot="1" x14ac:dyDescent="0.3">
      <c r="C240" s="53"/>
      <c r="D240" s="54"/>
      <c r="E240" s="55"/>
      <c r="I240" s="53"/>
      <c r="J240" s="54"/>
      <c r="K240" s="55"/>
    </row>
    <row r="241" spans="2:11" ht="15.75" thickBot="1" x14ac:dyDescent="0.3"/>
    <row r="242" spans="2:11" ht="15.75" thickBot="1" x14ac:dyDescent="0.3">
      <c r="C242" s="62" t="str">
        <f>IF(C239&gt;E239,"3",IF(C239=E239,"1","0"))</f>
        <v>3</v>
      </c>
      <c r="D242" s="64" t="s">
        <v>0</v>
      </c>
      <c r="E242" s="64" t="str">
        <f>IF(E239&gt;C239,"3",IF(E239=C239,"1","0"))</f>
        <v>0</v>
      </c>
      <c r="I242" s="62" t="str">
        <f>IF(I239&gt;K239,"3",IF(I239=K239,"1","0"))</f>
        <v>3</v>
      </c>
      <c r="J242" s="64" t="s">
        <v>0</v>
      </c>
      <c r="K242" s="64" t="str">
        <f>IF(K239&gt;I239,"3",IF(K239=I239,"1","0"))</f>
        <v>0</v>
      </c>
    </row>
    <row r="243" spans="2:11" ht="15.75" thickBot="1" x14ac:dyDescent="0.3"/>
    <row r="244" spans="2:11" ht="15.75" thickBot="1" x14ac:dyDescent="0.3">
      <c r="B244" s="33" t="s">
        <v>32</v>
      </c>
      <c r="C244" s="34"/>
      <c r="D244" s="60" t="s">
        <v>33</v>
      </c>
      <c r="E244" s="35"/>
      <c r="H244" s="33" t="s">
        <v>32</v>
      </c>
      <c r="I244" s="34"/>
      <c r="J244" s="60" t="s">
        <v>33</v>
      </c>
      <c r="K244" s="35"/>
    </row>
    <row r="245" spans="2:11" ht="15.75" thickBot="1" x14ac:dyDescent="0.3">
      <c r="B245" s="36">
        <f>Spiele!AH5</f>
        <v>45769</v>
      </c>
      <c r="C245" s="37"/>
      <c r="D245" s="38"/>
      <c r="E245" s="39"/>
      <c r="H245" s="36">
        <f>Spiele!AI5</f>
        <v>45776</v>
      </c>
      <c r="I245" s="37"/>
      <c r="J245" s="38"/>
      <c r="K245" s="39"/>
    </row>
    <row r="246" spans="2:11" x14ac:dyDescent="0.25">
      <c r="B246" s="9"/>
      <c r="C246" s="40" t="s">
        <v>119</v>
      </c>
      <c r="D246" s="41"/>
      <c r="E246" s="42" t="s">
        <v>25</v>
      </c>
      <c r="H246" s="9"/>
      <c r="I246" s="40" t="s">
        <v>25</v>
      </c>
      <c r="J246" s="41"/>
      <c r="K246" s="42" t="s">
        <v>22</v>
      </c>
    </row>
    <row r="247" spans="2:11" x14ac:dyDescent="0.25">
      <c r="B247" s="9"/>
      <c r="C247" s="40" t="s">
        <v>14</v>
      </c>
      <c r="D247" s="43"/>
      <c r="E247" s="42" t="s">
        <v>22</v>
      </c>
      <c r="H247" s="9"/>
      <c r="I247" s="40" t="s">
        <v>17</v>
      </c>
      <c r="J247" s="43"/>
      <c r="K247" s="42" t="s">
        <v>21</v>
      </c>
    </row>
    <row r="248" spans="2:11" x14ac:dyDescent="0.25">
      <c r="B248" s="9"/>
      <c r="C248" s="40" t="s">
        <v>21</v>
      </c>
      <c r="D248" s="41" t="s">
        <v>34</v>
      </c>
      <c r="E248" s="42" t="s">
        <v>17</v>
      </c>
      <c r="H248" s="9"/>
      <c r="I248" s="40" t="s">
        <v>13</v>
      </c>
      <c r="J248" s="41" t="s">
        <v>34</v>
      </c>
      <c r="K248" s="42" t="s">
        <v>16</v>
      </c>
    </row>
    <row r="249" spans="2:11" x14ac:dyDescent="0.25">
      <c r="B249" s="9"/>
      <c r="C249" s="40" t="s">
        <v>16</v>
      </c>
      <c r="D249" s="41"/>
      <c r="E249" s="42" t="s">
        <v>13</v>
      </c>
      <c r="H249" s="9"/>
      <c r="I249" s="40" t="s">
        <v>123</v>
      </c>
      <c r="J249" s="41"/>
      <c r="K249" s="42" t="s">
        <v>122</v>
      </c>
    </row>
    <row r="250" spans="2:11" x14ac:dyDescent="0.25">
      <c r="B250" s="9"/>
      <c r="C250" s="40" t="s">
        <v>123</v>
      </c>
      <c r="D250" s="41"/>
      <c r="E250" s="42" t="s">
        <v>15</v>
      </c>
      <c r="H250" s="9"/>
      <c r="I250" s="40"/>
      <c r="J250" s="41"/>
      <c r="K250" s="42" t="s">
        <v>28</v>
      </c>
    </row>
    <row r="251" spans="2:11" ht="15.75" thickBot="1" x14ac:dyDescent="0.3">
      <c r="B251" s="9"/>
      <c r="C251" s="44" t="s">
        <v>28</v>
      </c>
      <c r="D251" s="45"/>
      <c r="E251" s="46"/>
      <c r="H251" s="9"/>
      <c r="I251" s="44"/>
      <c r="J251" s="45"/>
      <c r="K251" s="46"/>
    </row>
    <row r="252" spans="2:11" ht="15.75" thickBot="1" x14ac:dyDescent="0.3">
      <c r="B252" s="9"/>
      <c r="C252" s="9"/>
      <c r="D252" s="9"/>
      <c r="E252" s="9"/>
      <c r="H252" s="9"/>
      <c r="I252" s="9"/>
      <c r="J252" s="9"/>
      <c r="K252" s="9"/>
    </row>
    <row r="253" spans="2:11" ht="15.75" thickBot="1" x14ac:dyDescent="0.3">
      <c r="B253" s="9"/>
      <c r="C253" s="47"/>
      <c r="D253" s="48" t="s">
        <v>35</v>
      </c>
      <c r="E253" s="49"/>
      <c r="H253" s="9"/>
      <c r="I253" s="47"/>
      <c r="J253" s="48" t="s">
        <v>35</v>
      </c>
      <c r="K253" s="49"/>
    </row>
    <row r="254" spans="2:11" x14ac:dyDescent="0.25">
      <c r="B254" s="9"/>
      <c r="C254" s="40"/>
      <c r="D254" s="41"/>
      <c r="E254" s="42"/>
      <c r="H254" s="9"/>
      <c r="I254" s="40"/>
      <c r="J254" s="41"/>
      <c r="K254" s="42"/>
    </row>
    <row r="255" spans="2:11" x14ac:dyDescent="0.25">
      <c r="B255" s="9"/>
      <c r="C255" s="50">
        <v>4</v>
      </c>
      <c r="D255" s="51" t="s">
        <v>36</v>
      </c>
      <c r="E255" s="52">
        <v>2</v>
      </c>
      <c r="H255" s="9"/>
      <c r="I255" s="50">
        <v>2</v>
      </c>
      <c r="J255" s="51" t="s">
        <v>36</v>
      </c>
      <c r="K255" s="52">
        <v>1</v>
      </c>
    </row>
    <row r="256" spans="2:11" ht="15.75" thickBot="1" x14ac:dyDescent="0.3">
      <c r="C256" s="53"/>
      <c r="D256" s="54"/>
      <c r="E256" s="55"/>
      <c r="I256" s="53"/>
      <c r="J256" s="54"/>
      <c r="K256" s="55"/>
    </row>
    <row r="257" spans="2:11" ht="15.75" thickBot="1" x14ac:dyDescent="0.3"/>
    <row r="258" spans="2:11" ht="15.75" thickBot="1" x14ac:dyDescent="0.3">
      <c r="C258" s="62" t="str">
        <f>IF(C255&gt;E255,"3",IF(C255=E255,"1","0"))</f>
        <v>3</v>
      </c>
      <c r="D258" s="64" t="s">
        <v>0</v>
      </c>
      <c r="E258" s="64" t="str">
        <f>IF(E255&gt;C255,"3",IF(E255=C255,"1","0"))</f>
        <v>0</v>
      </c>
      <c r="I258" s="62" t="str">
        <f>IF(I255&gt;K255,"3",IF(I255=K255,"1","0"))</f>
        <v>3</v>
      </c>
      <c r="J258" s="64" t="s">
        <v>0</v>
      </c>
      <c r="K258" s="64" t="str">
        <f>IF(K255&gt;I255,"3",IF(K255=I255,"1","0"))</f>
        <v>0</v>
      </c>
    </row>
    <row r="259" spans="2:11" ht="15.75" thickBot="1" x14ac:dyDescent="0.3"/>
    <row r="260" spans="2:11" ht="15.75" thickBot="1" x14ac:dyDescent="0.3">
      <c r="B260" s="33" t="s">
        <v>32</v>
      </c>
      <c r="C260" s="34"/>
      <c r="D260" s="60" t="s">
        <v>33</v>
      </c>
      <c r="E260" s="35"/>
      <c r="H260" s="33" t="s">
        <v>32</v>
      </c>
      <c r="I260" s="34"/>
      <c r="J260" s="60" t="s">
        <v>33</v>
      </c>
      <c r="K260" s="35"/>
    </row>
    <row r="261" spans="2:11" ht="15.75" thickBot="1" x14ac:dyDescent="0.3">
      <c r="B261" s="36">
        <f>Spiele!AJ5</f>
        <v>45783</v>
      </c>
      <c r="C261" s="37"/>
      <c r="D261" s="38"/>
      <c r="E261" s="39"/>
      <c r="H261" s="36">
        <f>Spiele!AK5</f>
        <v>45790</v>
      </c>
      <c r="I261" s="37"/>
      <c r="J261" s="38"/>
      <c r="K261" s="39"/>
    </row>
    <row r="262" spans="2:11" x14ac:dyDescent="0.25">
      <c r="B262" s="9"/>
      <c r="C262" s="40" t="s">
        <v>25</v>
      </c>
      <c r="D262" s="41"/>
      <c r="E262" s="42" t="s">
        <v>14</v>
      </c>
      <c r="H262" s="9"/>
      <c r="I262" s="40" t="s">
        <v>25</v>
      </c>
      <c r="J262" s="41"/>
      <c r="K262" s="42" t="s">
        <v>119</v>
      </c>
    </row>
    <row r="263" spans="2:11" x14ac:dyDescent="0.25">
      <c r="B263" s="9"/>
      <c r="C263" s="40" t="s">
        <v>17</v>
      </c>
      <c r="D263" s="43"/>
      <c r="E263" s="42" t="s">
        <v>22</v>
      </c>
      <c r="H263" s="9"/>
      <c r="I263" s="40" t="s">
        <v>17</v>
      </c>
      <c r="J263" s="43"/>
      <c r="K263" s="42" t="s">
        <v>22</v>
      </c>
    </row>
    <row r="264" spans="2:11" x14ac:dyDescent="0.25">
      <c r="B264" s="9"/>
      <c r="C264" s="40" t="s">
        <v>21</v>
      </c>
      <c r="D264" s="41" t="s">
        <v>34</v>
      </c>
      <c r="E264" s="42" t="s">
        <v>13</v>
      </c>
      <c r="H264" s="9"/>
      <c r="I264" s="40" t="s">
        <v>15</v>
      </c>
      <c r="J264" s="41" t="s">
        <v>34</v>
      </c>
      <c r="K264" s="42" t="s">
        <v>21</v>
      </c>
    </row>
    <row r="265" spans="2:11" x14ac:dyDescent="0.25">
      <c r="B265" s="9"/>
      <c r="C265" s="40" t="s">
        <v>15</v>
      </c>
      <c r="D265" s="41"/>
      <c r="E265" s="42" t="s">
        <v>56</v>
      </c>
      <c r="H265" s="9"/>
      <c r="I265" s="40" t="s">
        <v>122</v>
      </c>
      <c r="J265" s="41"/>
      <c r="K265" s="42" t="s">
        <v>56</v>
      </c>
    </row>
    <row r="266" spans="2:11" x14ac:dyDescent="0.25">
      <c r="B266" s="9"/>
      <c r="C266" s="40" t="s">
        <v>123</v>
      </c>
      <c r="D266" s="41"/>
      <c r="E266" s="42" t="s">
        <v>28</v>
      </c>
      <c r="H266" s="9"/>
      <c r="I266" s="40" t="s">
        <v>123</v>
      </c>
      <c r="J266" s="41"/>
      <c r="K266" s="42" t="s">
        <v>28</v>
      </c>
    </row>
    <row r="267" spans="2:11" ht="15.75" thickBot="1" x14ac:dyDescent="0.3">
      <c r="B267" s="9"/>
      <c r="C267" s="44"/>
      <c r="D267" s="45"/>
      <c r="E267" s="46"/>
      <c r="H267" s="9"/>
      <c r="I267" s="44" t="s">
        <v>27</v>
      </c>
      <c r="J267" s="45"/>
      <c r="K267" s="46" t="s">
        <v>19</v>
      </c>
    </row>
    <row r="268" spans="2:11" ht="15.75" thickBot="1" x14ac:dyDescent="0.3">
      <c r="B268" s="9"/>
      <c r="C268" s="9"/>
      <c r="D268" s="9"/>
      <c r="E268" s="9"/>
      <c r="H268" s="9"/>
      <c r="I268" s="9"/>
      <c r="J268" s="9"/>
      <c r="K268" s="9"/>
    </row>
    <row r="269" spans="2:11" ht="15.75" thickBot="1" x14ac:dyDescent="0.3">
      <c r="B269" s="9"/>
      <c r="C269" s="47"/>
      <c r="D269" s="48" t="s">
        <v>35</v>
      </c>
      <c r="E269" s="49"/>
      <c r="H269" s="9"/>
      <c r="I269" s="47"/>
      <c r="J269" s="48" t="s">
        <v>35</v>
      </c>
      <c r="K269" s="49"/>
    </row>
    <row r="270" spans="2:11" x14ac:dyDescent="0.25">
      <c r="B270" s="9"/>
      <c r="C270" s="40"/>
      <c r="D270" s="41"/>
      <c r="E270" s="42"/>
      <c r="H270" s="9"/>
      <c r="I270" s="40"/>
      <c r="J270" s="41"/>
      <c r="K270" s="42"/>
    </row>
    <row r="271" spans="2:11" x14ac:dyDescent="0.25">
      <c r="B271" s="9"/>
      <c r="C271" s="50">
        <v>5</v>
      </c>
      <c r="D271" s="51" t="s">
        <v>36</v>
      </c>
      <c r="E271" s="52">
        <v>3</v>
      </c>
      <c r="H271" s="9"/>
      <c r="I271" s="50">
        <v>1</v>
      </c>
      <c r="J271" s="51" t="s">
        <v>36</v>
      </c>
      <c r="K271" s="52">
        <v>1</v>
      </c>
    </row>
    <row r="272" spans="2:11" ht="15.75" thickBot="1" x14ac:dyDescent="0.3">
      <c r="C272" s="53"/>
      <c r="D272" s="54"/>
      <c r="E272" s="55"/>
      <c r="I272" s="53"/>
      <c r="J272" s="54"/>
      <c r="K272" s="55"/>
    </row>
    <row r="273" spans="2:11" ht="15.75" thickBot="1" x14ac:dyDescent="0.3"/>
    <row r="274" spans="2:11" ht="15.75" thickBot="1" x14ac:dyDescent="0.3">
      <c r="C274" s="62" t="str">
        <f>IF(C271&gt;E271,"3",IF(C271=E271,"1","0"))</f>
        <v>3</v>
      </c>
      <c r="D274" s="64" t="s">
        <v>0</v>
      </c>
      <c r="E274" s="64" t="str">
        <f>IF(E271&gt;C271,"3",IF(E271=C271,"1","0"))</f>
        <v>0</v>
      </c>
      <c r="I274" s="62" t="str">
        <f>IF(I271&gt;K271,"3",IF(I271=K271,"1","0"))</f>
        <v>1</v>
      </c>
      <c r="J274" s="64" t="s">
        <v>0</v>
      </c>
      <c r="K274" s="64" t="str">
        <f>IF(K271&gt;I271,"3",IF(K271=I271,"1","0"))</f>
        <v>1</v>
      </c>
    </row>
    <row r="275" spans="2:11" ht="15.75" thickBot="1" x14ac:dyDescent="0.3"/>
    <row r="276" spans="2:11" ht="15.75" thickBot="1" x14ac:dyDescent="0.3">
      <c r="B276" s="33" t="s">
        <v>32</v>
      </c>
      <c r="C276" s="34"/>
      <c r="D276" s="60" t="s">
        <v>33</v>
      </c>
      <c r="E276" s="35"/>
      <c r="H276" s="33" t="s">
        <v>32</v>
      </c>
      <c r="I276" s="34"/>
      <c r="J276" s="60" t="s">
        <v>33</v>
      </c>
      <c r="K276" s="35"/>
    </row>
    <row r="277" spans="2:11" ht="15.75" thickBot="1" x14ac:dyDescent="0.3">
      <c r="B277" s="36">
        <f>Spiele!AL5</f>
        <v>45797</v>
      </c>
      <c r="C277" s="37"/>
      <c r="D277" s="38"/>
      <c r="E277" s="39"/>
      <c r="H277" s="36">
        <f>Spiele!AM5</f>
        <v>45804</v>
      </c>
      <c r="I277" s="37"/>
      <c r="J277" s="38"/>
      <c r="K277" s="39"/>
    </row>
    <row r="278" spans="2:11" x14ac:dyDescent="0.25">
      <c r="B278" s="9"/>
      <c r="C278" s="40" t="s">
        <v>14</v>
      </c>
      <c r="D278" s="41"/>
      <c r="E278" s="42" t="s">
        <v>119</v>
      </c>
      <c r="H278" s="9"/>
      <c r="I278" s="40" t="s">
        <v>14</v>
      </c>
      <c r="J278" s="41"/>
      <c r="K278" s="42" t="s">
        <v>25</v>
      </c>
    </row>
    <row r="279" spans="2:11" x14ac:dyDescent="0.25">
      <c r="B279" s="9"/>
      <c r="C279" s="40" t="s">
        <v>21</v>
      </c>
      <c r="D279" s="43"/>
      <c r="E279" s="42" t="s">
        <v>25</v>
      </c>
      <c r="H279" s="9"/>
      <c r="I279" s="40" t="s">
        <v>22</v>
      </c>
      <c r="J279" s="43"/>
      <c r="K279" s="42" t="s">
        <v>17</v>
      </c>
    </row>
    <row r="280" spans="2:11" x14ac:dyDescent="0.25">
      <c r="B280" s="9"/>
      <c r="C280" s="40" t="s">
        <v>13</v>
      </c>
      <c r="D280" s="41" t="s">
        <v>34</v>
      </c>
      <c r="E280" s="42" t="s">
        <v>22</v>
      </c>
      <c r="H280" s="9"/>
      <c r="I280" s="40" t="s">
        <v>21</v>
      </c>
      <c r="J280" s="41" t="s">
        <v>34</v>
      </c>
      <c r="K280" s="42" t="s">
        <v>15</v>
      </c>
    </row>
    <row r="281" spans="2:11" x14ac:dyDescent="0.25">
      <c r="B281" s="9"/>
      <c r="C281" s="40" t="s">
        <v>56</v>
      </c>
      <c r="D281" s="41"/>
      <c r="E281" s="42" t="s">
        <v>17</v>
      </c>
      <c r="H281" s="9"/>
      <c r="I281" s="40" t="s">
        <v>13</v>
      </c>
      <c r="J281" s="41"/>
      <c r="K281" s="42" t="s">
        <v>122</v>
      </c>
    </row>
    <row r="282" spans="2:11" x14ac:dyDescent="0.25">
      <c r="B282" s="9"/>
      <c r="C282" s="40" t="s">
        <v>28</v>
      </c>
      <c r="D282" s="41"/>
      <c r="E282" s="42" t="s">
        <v>122</v>
      </c>
      <c r="H282" s="9"/>
      <c r="I282" s="40" t="s">
        <v>56</v>
      </c>
      <c r="J282" s="41"/>
      <c r="K282" s="42" t="s">
        <v>27</v>
      </c>
    </row>
    <row r="283" spans="2:11" ht="15.75" thickBot="1" x14ac:dyDescent="0.3">
      <c r="B283" s="9"/>
      <c r="C283" s="44" t="s">
        <v>19</v>
      </c>
      <c r="D283" s="45"/>
      <c r="E283" s="46"/>
      <c r="H283" s="9"/>
      <c r="I283" s="44" t="s">
        <v>28</v>
      </c>
      <c r="J283" s="45"/>
      <c r="K283" s="46"/>
    </row>
    <row r="284" spans="2:11" ht="15.75" thickBot="1" x14ac:dyDescent="0.3">
      <c r="B284" s="9"/>
      <c r="C284" s="9"/>
      <c r="D284" s="9"/>
      <c r="E284" s="9"/>
      <c r="H284" s="9"/>
      <c r="I284" s="9"/>
      <c r="J284" s="9"/>
      <c r="K284" s="9"/>
    </row>
    <row r="285" spans="2:11" ht="15.75" thickBot="1" x14ac:dyDescent="0.3">
      <c r="B285" s="9"/>
      <c r="C285" s="47"/>
      <c r="D285" s="48" t="s">
        <v>35</v>
      </c>
      <c r="E285" s="49"/>
      <c r="H285" s="9"/>
      <c r="I285" s="47"/>
      <c r="J285" s="48" t="s">
        <v>35</v>
      </c>
      <c r="K285" s="49"/>
    </row>
    <row r="286" spans="2:11" x14ac:dyDescent="0.25">
      <c r="B286" s="9"/>
      <c r="C286" s="40"/>
      <c r="D286" s="41"/>
      <c r="E286" s="42"/>
      <c r="H286" s="9"/>
      <c r="I286" s="40"/>
      <c r="J286" s="41"/>
      <c r="K286" s="42"/>
    </row>
    <row r="287" spans="2:11" x14ac:dyDescent="0.25">
      <c r="B287" s="9"/>
      <c r="C287" s="50">
        <v>5</v>
      </c>
      <c r="D287" s="51" t="s">
        <v>36</v>
      </c>
      <c r="E287" s="52">
        <v>3</v>
      </c>
      <c r="H287" s="9"/>
      <c r="I287" s="50">
        <v>3</v>
      </c>
      <c r="J287" s="51" t="s">
        <v>36</v>
      </c>
      <c r="K287" s="52">
        <v>2</v>
      </c>
    </row>
    <row r="288" spans="2:11" ht="15.75" thickBot="1" x14ac:dyDescent="0.3">
      <c r="C288" s="53"/>
      <c r="D288" s="54"/>
      <c r="E288" s="55"/>
      <c r="I288" s="53"/>
      <c r="J288" s="54"/>
      <c r="K288" s="55"/>
    </row>
    <row r="289" spans="2:11" ht="15.75" thickBot="1" x14ac:dyDescent="0.3"/>
    <row r="290" spans="2:11" ht="15.75" thickBot="1" x14ac:dyDescent="0.3">
      <c r="C290" s="62" t="str">
        <f>IF(C287&gt;E287,"3",IF(C287=E287,"1","0"))</f>
        <v>3</v>
      </c>
      <c r="D290" s="64" t="s">
        <v>0</v>
      </c>
      <c r="E290" s="64" t="str">
        <f>IF(E287&gt;C287,"3",IF(E287=C287,"1","0"))</f>
        <v>0</v>
      </c>
      <c r="I290" s="62" t="str">
        <f>IF(I287&gt;K287,"3",IF(I287=K287,"1","0"))</f>
        <v>3</v>
      </c>
      <c r="J290" s="64" t="s">
        <v>0</v>
      </c>
      <c r="K290" s="64" t="str">
        <f>IF(K287&gt;I287,"3",IF(K287=I287,"1","0"))</f>
        <v>0</v>
      </c>
    </row>
    <row r="291" spans="2:11" ht="15.75" thickBot="1" x14ac:dyDescent="0.3"/>
    <row r="292" spans="2:11" ht="15.75" thickBot="1" x14ac:dyDescent="0.3">
      <c r="B292" s="33" t="s">
        <v>32</v>
      </c>
      <c r="C292" s="34"/>
      <c r="D292" s="60" t="s">
        <v>33</v>
      </c>
      <c r="E292" s="35"/>
      <c r="H292" s="33" t="s">
        <v>32</v>
      </c>
      <c r="I292" s="34"/>
      <c r="J292" s="60" t="s">
        <v>33</v>
      </c>
      <c r="K292" s="35"/>
    </row>
    <row r="293" spans="2:11" ht="15.75" thickBot="1" x14ac:dyDescent="0.3">
      <c r="B293" s="36">
        <f>Spiele!AN5</f>
        <v>45811</v>
      </c>
      <c r="C293" s="37"/>
      <c r="D293" s="38"/>
      <c r="E293" s="39"/>
      <c r="H293" s="36">
        <f>Spiele!AO5</f>
        <v>45818</v>
      </c>
      <c r="I293" s="37"/>
      <c r="J293" s="38"/>
      <c r="K293" s="39"/>
    </row>
    <row r="294" spans="2:11" x14ac:dyDescent="0.25">
      <c r="B294" s="9"/>
      <c r="C294" s="40" t="s">
        <v>14</v>
      </c>
      <c r="D294" s="41"/>
      <c r="E294" s="42" t="s">
        <v>25</v>
      </c>
      <c r="H294" s="9"/>
      <c r="I294" s="40" t="s">
        <v>14</v>
      </c>
      <c r="J294" s="41"/>
      <c r="K294" s="42" t="s">
        <v>119</v>
      </c>
    </row>
    <row r="295" spans="2:11" x14ac:dyDescent="0.25">
      <c r="B295" s="9"/>
      <c r="C295" s="40" t="s">
        <v>22</v>
      </c>
      <c r="D295" s="43"/>
      <c r="E295" s="42" t="s">
        <v>129</v>
      </c>
      <c r="H295" s="9"/>
      <c r="I295" s="40" t="s">
        <v>22</v>
      </c>
      <c r="J295" s="43"/>
      <c r="K295" s="42" t="s">
        <v>13</v>
      </c>
    </row>
    <row r="296" spans="2:11" x14ac:dyDescent="0.25">
      <c r="B296" s="9"/>
      <c r="C296" s="40" t="s">
        <v>21</v>
      </c>
      <c r="D296" s="41" t="s">
        <v>34</v>
      </c>
      <c r="E296" s="42" t="s">
        <v>15</v>
      </c>
      <c r="H296" s="9"/>
      <c r="I296" s="40" t="s">
        <v>21</v>
      </c>
      <c r="J296" s="41" t="s">
        <v>34</v>
      </c>
      <c r="K296" s="42" t="s">
        <v>15</v>
      </c>
    </row>
    <row r="297" spans="2:11" x14ac:dyDescent="0.25">
      <c r="B297" s="9"/>
      <c r="C297" s="40" t="s">
        <v>13</v>
      </c>
      <c r="D297" s="41"/>
      <c r="E297" s="42" t="s">
        <v>122</v>
      </c>
      <c r="H297" s="9"/>
      <c r="I297" s="40" t="s">
        <v>56</v>
      </c>
      <c r="J297" s="41"/>
      <c r="K297" s="42" t="s">
        <v>122</v>
      </c>
    </row>
    <row r="298" spans="2:11" x14ac:dyDescent="0.25">
      <c r="B298" s="9"/>
      <c r="C298" s="40" t="s">
        <v>56</v>
      </c>
      <c r="D298" s="41"/>
      <c r="E298" s="42" t="s">
        <v>27</v>
      </c>
      <c r="H298" s="9"/>
      <c r="I298" s="40" t="s">
        <v>28</v>
      </c>
      <c r="J298" s="41"/>
      <c r="K298" s="42"/>
    </row>
    <row r="299" spans="2:11" ht="15.75" thickBot="1" x14ac:dyDescent="0.3">
      <c r="B299" s="9"/>
      <c r="C299" s="44" t="s">
        <v>28</v>
      </c>
      <c r="D299" s="45"/>
      <c r="E299" s="46"/>
      <c r="H299" s="9"/>
      <c r="I299" s="44"/>
      <c r="J299" s="45"/>
      <c r="K299" s="46"/>
    </row>
    <row r="300" spans="2:11" ht="15.75" thickBot="1" x14ac:dyDescent="0.3">
      <c r="B300" s="9"/>
      <c r="C300" s="9"/>
      <c r="D300" s="9"/>
      <c r="E300" s="9"/>
      <c r="H300" s="9"/>
      <c r="I300" s="9"/>
      <c r="J300" s="9"/>
      <c r="K300" s="9"/>
    </row>
    <row r="301" spans="2:11" ht="15.75" thickBot="1" x14ac:dyDescent="0.3">
      <c r="B301" s="9"/>
      <c r="C301" s="47"/>
      <c r="D301" s="48" t="s">
        <v>35</v>
      </c>
      <c r="E301" s="49"/>
      <c r="H301" s="9"/>
      <c r="I301" s="47"/>
      <c r="J301" s="48" t="s">
        <v>35</v>
      </c>
      <c r="K301" s="49"/>
    </row>
    <row r="302" spans="2:11" x14ac:dyDescent="0.25">
      <c r="B302" s="9"/>
      <c r="C302" s="40"/>
      <c r="D302" s="41"/>
      <c r="E302" s="42"/>
      <c r="H302" s="9"/>
      <c r="I302" s="40"/>
      <c r="J302" s="41"/>
      <c r="K302" s="42"/>
    </row>
    <row r="303" spans="2:11" x14ac:dyDescent="0.25">
      <c r="B303" s="9"/>
      <c r="C303" s="50">
        <v>3</v>
      </c>
      <c r="D303" s="51" t="s">
        <v>36</v>
      </c>
      <c r="E303" s="52">
        <v>0</v>
      </c>
      <c r="H303" s="9"/>
      <c r="I303" s="50">
        <v>3</v>
      </c>
      <c r="J303" s="51" t="s">
        <v>36</v>
      </c>
      <c r="K303" s="52">
        <v>0</v>
      </c>
    </row>
    <row r="304" spans="2:11" ht="15.75" thickBot="1" x14ac:dyDescent="0.3">
      <c r="C304" s="53"/>
      <c r="D304" s="54"/>
      <c r="E304" s="55"/>
      <c r="I304" s="53"/>
      <c r="J304" s="54"/>
      <c r="K304" s="55"/>
    </row>
    <row r="305" spans="2:11" ht="15.75" thickBot="1" x14ac:dyDescent="0.3"/>
    <row r="306" spans="2:11" ht="15.75" thickBot="1" x14ac:dyDescent="0.3">
      <c r="C306" s="62" t="str">
        <f>IF(C303&gt;E303,"3",IF(C303=E303,"1","0"))</f>
        <v>3</v>
      </c>
      <c r="D306" s="64" t="s">
        <v>0</v>
      </c>
      <c r="E306" s="64" t="str">
        <f>IF(E303&gt;C303,"3",IF(E303=C303,"1","0"))</f>
        <v>0</v>
      </c>
      <c r="I306" s="62" t="str">
        <f>IF(I303&gt;K303,"3",IF(I303=K303,"1","0"))</f>
        <v>3</v>
      </c>
      <c r="J306" s="64" t="s">
        <v>0</v>
      </c>
      <c r="K306" s="64" t="str">
        <f>IF(K303&gt;I303,"3",IF(K303=I303,"1","0"))</f>
        <v>0</v>
      </c>
    </row>
    <row r="307" spans="2:11" ht="15.75" thickBot="1" x14ac:dyDescent="0.3"/>
    <row r="308" spans="2:11" ht="15.75" thickBot="1" x14ac:dyDescent="0.3">
      <c r="B308" s="33" t="s">
        <v>32</v>
      </c>
      <c r="C308" s="34"/>
      <c r="D308" s="60" t="s">
        <v>33</v>
      </c>
      <c r="E308" s="35"/>
      <c r="H308" s="33" t="s">
        <v>32</v>
      </c>
      <c r="I308" s="34"/>
      <c r="J308" s="60" t="s">
        <v>33</v>
      </c>
      <c r="K308" s="35"/>
    </row>
    <row r="309" spans="2:11" ht="15.75" thickBot="1" x14ac:dyDescent="0.3">
      <c r="B309" s="36">
        <f>Spiele!AP5</f>
        <v>45825</v>
      </c>
      <c r="C309" s="37"/>
      <c r="D309" s="38"/>
      <c r="E309" s="39"/>
      <c r="H309" s="36">
        <f>Spiele!AQ5</f>
        <v>45832</v>
      </c>
      <c r="I309" s="37"/>
      <c r="J309" s="38"/>
      <c r="K309" s="39"/>
    </row>
    <row r="310" spans="2:11" x14ac:dyDescent="0.25">
      <c r="B310" s="9"/>
      <c r="C310" s="40" t="s">
        <v>25</v>
      </c>
      <c r="D310" s="41"/>
      <c r="E310" s="42" t="s">
        <v>119</v>
      </c>
      <c r="H310" s="9"/>
      <c r="I310" s="40" t="s">
        <v>14</v>
      </c>
      <c r="J310" s="41"/>
      <c r="K310" s="42" t="s">
        <v>119</v>
      </c>
    </row>
    <row r="311" spans="2:11" x14ac:dyDescent="0.25">
      <c r="B311" s="9"/>
      <c r="C311" s="40" t="s">
        <v>21</v>
      </c>
      <c r="D311" s="43"/>
      <c r="E311" s="42" t="s">
        <v>14</v>
      </c>
      <c r="H311" s="9"/>
      <c r="I311" s="40" t="s">
        <v>13</v>
      </c>
      <c r="J311" s="43"/>
      <c r="K311" s="42" t="s">
        <v>25</v>
      </c>
    </row>
    <row r="312" spans="2:11" x14ac:dyDescent="0.25">
      <c r="B312" s="9"/>
      <c r="C312" s="40" t="s">
        <v>15</v>
      </c>
      <c r="D312" s="41" t="s">
        <v>34</v>
      </c>
      <c r="E312" s="42" t="s">
        <v>13</v>
      </c>
      <c r="H312" s="9"/>
      <c r="I312" s="40" t="s">
        <v>122</v>
      </c>
      <c r="J312" s="41" t="s">
        <v>34</v>
      </c>
      <c r="K312" s="42" t="s">
        <v>22</v>
      </c>
    </row>
    <row r="313" spans="2:11" x14ac:dyDescent="0.25">
      <c r="B313" s="9"/>
      <c r="C313" s="40" t="s">
        <v>122</v>
      </c>
      <c r="D313" s="41"/>
      <c r="E313" s="42" t="s">
        <v>56</v>
      </c>
      <c r="H313" s="9"/>
      <c r="I313" s="40" t="s">
        <v>56</v>
      </c>
      <c r="J313" s="41"/>
      <c r="K313" s="42" t="s">
        <v>17</v>
      </c>
    </row>
    <row r="314" spans="2:11" x14ac:dyDescent="0.25">
      <c r="B314" s="9"/>
      <c r="C314" s="40" t="s">
        <v>27</v>
      </c>
      <c r="D314" s="41"/>
      <c r="E314" s="42" t="s">
        <v>28</v>
      </c>
      <c r="H314" s="9"/>
      <c r="I314" s="40" t="s">
        <v>28</v>
      </c>
      <c r="J314" s="41"/>
      <c r="K314" s="42" t="s">
        <v>21</v>
      </c>
    </row>
    <row r="315" spans="2:11" ht="15.75" thickBot="1" x14ac:dyDescent="0.3">
      <c r="B315" s="9"/>
      <c r="C315" s="44" t="s">
        <v>19</v>
      </c>
      <c r="D315" s="45"/>
      <c r="E315" s="46"/>
      <c r="H315" s="9"/>
      <c r="I315" s="44" t="s">
        <v>19</v>
      </c>
      <c r="J315" s="45"/>
      <c r="K315" s="46" t="s">
        <v>123</v>
      </c>
    </row>
    <row r="316" spans="2:11" ht="15.75" thickBot="1" x14ac:dyDescent="0.3">
      <c r="B316" s="9"/>
      <c r="C316" s="9"/>
      <c r="D316" s="9"/>
      <c r="E316" s="9"/>
      <c r="H316" s="9"/>
      <c r="I316" s="9"/>
      <c r="J316" s="9"/>
      <c r="K316" s="9"/>
    </row>
    <row r="317" spans="2:11" ht="15.75" thickBot="1" x14ac:dyDescent="0.3">
      <c r="B317" s="9"/>
      <c r="C317" s="47"/>
      <c r="D317" s="48" t="s">
        <v>35</v>
      </c>
      <c r="E317" s="49"/>
      <c r="H317" s="9"/>
      <c r="I317" s="47"/>
      <c r="J317" s="48" t="s">
        <v>35</v>
      </c>
      <c r="K317" s="49"/>
    </row>
    <row r="318" spans="2:11" x14ac:dyDescent="0.25">
      <c r="B318" s="9"/>
      <c r="C318" s="40"/>
      <c r="D318" s="41"/>
      <c r="E318" s="42"/>
      <c r="H318" s="9"/>
      <c r="I318" s="40"/>
      <c r="J318" s="41"/>
      <c r="K318" s="42"/>
    </row>
    <row r="319" spans="2:11" x14ac:dyDescent="0.25">
      <c r="B319" s="9"/>
      <c r="C319" s="50">
        <v>7</v>
      </c>
      <c r="D319" s="51" t="s">
        <v>36</v>
      </c>
      <c r="E319" s="52">
        <v>2</v>
      </c>
      <c r="H319" s="9"/>
      <c r="I319" s="50">
        <v>4</v>
      </c>
      <c r="J319" s="51" t="s">
        <v>36</v>
      </c>
      <c r="K319" s="52">
        <v>1</v>
      </c>
    </row>
    <row r="320" spans="2:11" ht="15.75" thickBot="1" x14ac:dyDescent="0.3">
      <c r="C320" s="53"/>
      <c r="D320" s="54"/>
      <c r="E320" s="55"/>
      <c r="I320" s="53"/>
      <c r="J320" s="54"/>
      <c r="K320" s="55"/>
    </row>
    <row r="321" spans="3:11" ht="15.75" thickBot="1" x14ac:dyDescent="0.3"/>
    <row r="322" spans="3:11" ht="15.75" thickBot="1" x14ac:dyDescent="0.3">
      <c r="C322" s="62" t="str">
        <f>IF(C319&gt;E319,"3",IF(C319=E319,"1","0"))</f>
        <v>3</v>
      </c>
      <c r="D322" s="64" t="s">
        <v>0</v>
      </c>
      <c r="E322" s="64" t="str">
        <f>IF(E319&gt;C319,"3",IF(E319=C319,"1","0"))</f>
        <v>0</v>
      </c>
      <c r="I322" s="62" t="str">
        <f>IF(I319&gt;K319,"3",IF(I319=K319,"1","0"))</f>
        <v>3</v>
      </c>
      <c r="J322" s="64" t="s">
        <v>0</v>
      </c>
      <c r="K322" s="64" t="str">
        <f>IF(K319&gt;I319,"3",IF(K319=I319,"1","0"))</f>
        <v>0</v>
      </c>
    </row>
  </sheetData>
  <sortState xmlns:xlrd2="http://schemas.microsoft.com/office/spreadsheetml/2017/richdata2" ref="K310:K315">
    <sortCondition ref="K310:K315"/>
  </sortState>
  <mergeCells count="2">
    <mergeCell ref="C1:E1"/>
    <mergeCell ref="I1:K1"/>
  </mergeCells>
  <pageMargins left="0.7" right="0.7" top="0.78740157499999996" bottom="0.78740157499999996" header="0.3" footer="0.3"/>
  <pageSetup paperSize="9" scale="97" orientation="landscape" horizontalDpi="4294967293" verticalDpi="4294967293" r:id="rId1"/>
  <rowBreaks count="9" manualBreakCount="9">
    <brk id="32" max="16383" man="1"/>
    <brk id="65" max="10" man="1"/>
    <brk id="98" max="16383" man="1"/>
    <brk id="130" max="16383" man="1"/>
    <brk id="162" max="16383" man="1"/>
    <brk id="194" max="16383" man="1"/>
    <brk id="226" max="16383" man="1"/>
    <brk id="258" max="16383" man="1"/>
    <brk id="29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AU48"/>
  <sheetViews>
    <sheetView zoomScale="80" zoomScaleNormal="80" workbookViewId="0">
      <selection activeCell="AA36" sqref="AA36"/>
    </sheetView>
  </sheetViews>
  <sheetFormatPr defaultColWidth="11.42578125" defaultRowHeight="15" x14ac:dyDescent="0.25"/>
  <cols>
    <col min="1" max="1" width="2.28515625" customWidth="1"/>
    <col min="2" max="3" width="7" customWidth="1"/>
    <col min="4" max="4" width="13.85546875" bestFit="1" customWidth="1"/>
    <col min="5" max="5" width="5.85546875" customWidth="1"/>
    <col min="6" max="6" width="6.28515625" bestFit="1" customWidth="1"/>
    <col min="7" max="7" width="8.140625" customWidth="1"/>
    <col min="8" max="8" width="7.140625" customWidth="1"/>
    <col min="9" max="9" width="8.85546875" bestFit="1" customWidth="1"/>
    <col min="10" max="11" width="7.28515625" bestFit="1" customWidth="1"/>
    <col min="12" max="12" width="6.7109375" customWidth="1"/>
    <col min="13" max="13" width="7.28515625" customWidth="1"/>
    <col min="14" max="16" width="7.28515625" bestFit="1" customWidth="1"/>
    <col min="17" max="17" width="7.140625" customWidth="1"/>
    <col min="18" max="18" width="7.28515625" bestFit="1" customWidth="1"/>
    <col min="19" max="19" width="6.7109375" customWidth="1"/>
    <col min="20" max="20" width="6.7109375" bestFit="1" customWidth="1"/>
    <col min="21" max="23" width="6.28515625" bestFit="1" customWidth="1"/>
    <col min="24" max="24" width="6" bestFit="1" customWidth="1"/>
    <col min="25" max="25" width="6.28515625" bestFit="1" customWidth="1"/>
    <col min="26" max="26" width="5.7109375" customWidth="1"/>
    <col min="27" max="27" width="6" customWidth="1"/>
    <col min="28" max="28" width="5.140625" bestFit="1" customWidth="1"/>
    <col min="29" max="30" width="6.28515625" bestFit="1" customWidth="1"/>
    <col min="31" max="31" width="6.140625" customWidth="1"/>
    <col min="32" max="32" width="5.5703125" customWidth="1"/>
    <col min="33" max="35" width="6.28515625" bestFit="1" customWidth="1"/>
    <col min="36" max="36" width="6.28515625" customWidth="1"/>
    <col min="37" max="40" width="6.28515625" bestFit="1" customWidth="1"/>
    <col min="41" max="41" width="5.140625" bestFit="1" customWidth="1"/>
    <col min="42" max="42" width="6.28515625" bestFit="1" customWidth="1"/>
    <col min="43" max="43" width="5.7109375" customWidth="1"/>
    <col min="44" max="44" width="6.28515625" bestFit="1" customWidth="1"/>
    <col min="45" max="45" width="6" customWidth="1"/>
    <col min="46" max="47" width="6.5703125" customWidth="1"/>
    <col min="48" max="48" width="8.85546875" bestFit="1" customWidth="1"/>
    <col min="49" max="49" width="11.28515625" bestFit="1" customWidth="1"/>
    <col min="50" max="50" width="13" bestFit="1" customWidth="1"/>
    <col min="51" max="51" width="8" customWidth="1"/>
    <col min="52" max="52" width="5.5703125" customWidth="1"/>
    <col min="53" max="53" width="5" customWidth="1"/>
    <col min="54" max="54" width="6" customWidth="1"/>
    <col min="55" max="55" width="4.7109375" customWidth="1"/>
  </cols>
  <sheetData>
    <row r="4" spans="2:47" ht="15.75" thickBot="1" x14ac:dyDescent="0.3">
      <c r="B4" s="43"/>
      <c r="C4" s="43"/>
      <c r="D4" s="67"/>
      <c r="E4" s="41">
        <v>1</v>
      </c>
      <c r="F4" s="41">
        <v>2</v>
      </c>
      <c r="G4" s="41">
        <v>3</v>
      </c>
      <c r="H4" s="41">
        <v>4</v>
      </c>
      <c r="I4" s="41">
        <v>5</v>
      </c>
      <c r="J4" s="41">
        <v>6</v>
      </c>
      <c r="K4" s="41">
        <v>7</v>
      </c>
      <c r="L4" s="41">
        <v>8</v>
      </c>
      <c r="M4" s="41">
        <v>9</v>
      </c>
      <c r="N4" s="41">
        <v>10</v>
      </c>
      <c r="O4" s="41">
        <v>11</v>
      </c>
      <c r="P4" s="41">
        <v>12</v>
      </c>
      <c r="Q4" s="41">
        <v>13</v>
      </c>
      <c r="R4" s="41">
        <v>14</v>
      </c>
      <c r="S4" s="41">
        <v>15</v>
      </c>
      <c r="T4" s="41">
        <v>16</v>
      </c>
      <c r="U4" s="41">
        <v>17</v>
      </c>
      <c r="V4" s="41">
        <v>18</v>
      </c>
      <c r="W4" s="41">
        <v>19</v>
      </c>
      <c r="X4" s="41">
        <v>20</v>
      </c>
      <c r="Y4" s="41">
        <v>21</v>
      </c>
      <c r="Z4" s="41">
        <v>22</v>
      </c>
      <c r="AA4" s="41">
        <v>23</v>
      </c>
      <c r="AB4" s="41">
        <v>24</v>
      </c>
      <c r="AC4" s="41">
        <v>25</v>
      </c>
      <c r="AD4" s="41">
        <v>26</v>
      </c>
      <c r="AE4" s="41">
        <v>27</v>
      </c>
      <c r="AF4" s="41">
        <v>28</v>
      </c>
      <c r="AG4" s="41">
        <v>29</v>
      </c>
      <c r="AH4" s="41">
        <v>30</v>
      </c>
      <c r="AI4" s="41">
        <v>31</v>
      </c>
      <c r="AJ4" s="41">
        <v>32</v>
      </c>
      <c r="AK4" s="41">
        <v>33</v>
      </c>
      <c r="AL4" s="41">
        <v>34</v>
      </c>
      <c r="AM4" s="41">
        <v>35</v>
      </c>
      <c r="AN4" s="41">
        <v>36</v>
      </c>
      <c r="AO4" s="41">
        <v>37</v>
      </c>
      <c r="AP4" s="41">
        <v>38</v>
      </c>
      <c r="AQ4" s="41">
        <v>39</v>
      </c>
      <c r="AR4" s="41">
        <v>40</v>
      </c>
      <c r="AS4" s="41">
        <v>41</v>
      </c>
      <c r="AT4" s="43"/>
      <c r="AU4" s="43"/>
    </row>
    <row r="5" spans="2:47" ht="15.75" thickBot="1" x14ac:dyDescent="0.3">
      <c r="B5" s="1" t="s">
        <v>3</v>
      </c>
      <c r="C5" s="5"/>
      <c r="D5" s="1"/>
      <c r="E5" s="78">
        <f>Spiele!D5</f>
        <v>45538</v>
      </c>
      <c r="F5" s="78">
        <f>Spiele!E5</f>
        <v>45545</v>
      </c>
      <c r="G5" s="78">
        <f>Spiele!F5</f>
        <v>45552</v>
      </c>
      <c r="H5" s="78">
        <f>Spiele!G5</f>
        <v>45559</v>
      </c>
      <c r="I5" s="78">
        <f>Spiele!H5</f>
        <v>45566</v>
      </c>
      <c r="J5" s="78">
        <f>Spiele!I5</f>
        <v>45573</v>
      </c>
      <c r="K5" s="78">
        <f>Spiele!J5</f>
        <v>45580</v>
      </c>
      <c r="L5" s="78">
        <f>Spiele!K5</f>
        <v>45587</v>
      </c>
      <c r="M5" s="78">
        <f>Spiele!L5</f>
        <v>45594</v>
      </c>
      <c r="N5" s="78">
        <f>Spiele!M5</f>
        <v>45601</v>
      </c>
      <c r="O5" s="78">
        <f>Spiele!N5</f>
        <v>45608</v>
      </c>
      <c r="P5" s="78">
        <f>Spiele!O5</f>
        <v>45615</v>
      </c>
      <c r="Q5" s="78">
        <f>Spiele!P5</f>
        <v>45622</v>
      </c>
      <c r="R5" s="78">
        <f>Spiele!Q5</f>
        <v>45629</v>
      </c>
      <c r="S5" s="78">
        <f>Spiele!R5</f>
        <v>45643</v>
      </c>
      <c r="T5" s="78">
        <f>Spiele!S5</f>
        <v>45664</v>
      </c>
      <c r="U5" s="78">
        <f>Spiele!T5</f>
        <v>45671</v>
      </c>
      <c r="V5" s="78">
        <f>Spiele!U5</f>
        <v>45678</v>
      </c>
      <c r="W5" s="78">
        <f>Spiele!V5</f>
        <v>45685</v>
      </c>
      <c r="X5" s="78">
        <f>Spiele!W5</f>
        <v>45692</v>
      </c>
      <c r="Y5" s="78">
        <f>Spiele!X5</f>
        <v>45699</v>
      </c>
      <c r="Z5" s="78">
        <f>Spiele!Y5</f>
        <v>45706</v>
      </c>
      <c r="AA5" s="78">
        <f>Spiele!Z5</f>
        <v>45713</v>
      </c>
      <c r="AB5" s="78">
        <f>Spiele!AA5</f>
        <v>45720</v>
      </c>
      <c r="AC5" s="78">
        <f>Spiele!AB5</f>
        <v>45727</v>
      </c>
      <c r="AD5" s="78">
        <f>Spiele!AC5</f>
        <v>45734</v>
      </c>
      <c r="AE5" s="78">
        <f>Spiele!AD5</f>
        <v>45741</v>
      </c>
      <c r="AF5" s="78">
        <f>Spiele!AE5</f>
        <v>45748</v>
      </c>
      <c r="AG5" s="78">
        <f>Spiele!AF5</f>
        <v>45755</v>
      </c>
      <c r="AH5" s="78">
        <f>Spiele!AG5</f>
        <v>45762</v>
      </c>
      <c r="AI5" s="78">
        <f>Spiele!AH5</f>
        <v>45769</v>
      </c>
      <c r="AJ5" s="78">
        <f>Spiele!AI5</f>
        <v>45776</v>
      </c>
      <c r="AK5" s="78">
        <f>Spiele!AJ5</f>
        <v>45783</v>
      </c>
      <c r="AL5" s="78">
        <f>Spiele!AK5</f>
        <v>45790</v>
      </c>
      <c r="AM5" s="78">
        <f>Spiele!AL5</f>
        <v>45797</v>
      </c>
      <c r="AN5" s="78">
        <f>Spiele!AM5</f>
        <v>45804</v>
      </c>
      <c r="AO5" s="78">
        <f>Spiele!AN5</f>
        <v>45811</v>
      </c>
      <c r="AP5" s="78">
        <f>Spiele!AO5</f>
        <v>45818</v>
      </c>
      <c r="AQ5" s="78">
        <f>Spiele!AP5</f>
        <v>45825</v>
      </c>
      <c r="AR5" s="78">
        <f>Spiele!AQ5</f>
        <v>45832</v>
      </c>
      <c r="AS5" s="78"/>
      <c r="AT5" s="79" t="s">
        <v>30</v>
      </c>
      <c r="AU5" s="108" t="s">
        <v>37</v>
      </c>
    </row>
    <row r="6" spans="2:47" x14ac:dyDescent="0.25">
      <c r="B6" s="109">
        <v>1</v>
      </c>
      <c r="C6" s="111"/>
      <c r="D6" s="114" t="s">
        <v>119</v>
      </c>
      <c r="E6" s="112">
        <v>1</v>
      </c>
      <c r="F6" s="112">
        <f>'Tore (2)'!F21</f>
        <v>0</v>
      </c>
      <c r="G6" s="112">
        <v>4</v>
      </c>
      <c r="H6" s="112">
        <f>'Tore (2)'!H21</f>
        <v>0</v>
      </c>
      <c r="I6" s="112">
        <v>0</v>
      </c>
      <c r="J6" s="112">
        <f>'Tore (2)'!J21</f>
        <v>0</v>
      </c>
      <c r="K6" s="112">
        <f>'Tore (2)'!K21</f>
        <v>0</v>
      </c>
      <c r="L6" s="112">
        <f>'Tore (2)'!L21</f>
        <v>0</v>
      </c>
      <c r="M6" s="112">
        <f>'Tore (2)'!M21</f>
        <v>0</v>
      </c>
      <c r="N6" s="112">
        <f>'Tore (2)'!N21</f>
        <v>0</v>
      </c>
      <c r="O6" s="112">
        <v>1</v>
      </c>
      <c r="P6" s="112">
        <f>'Tore (2)'!P21</f>
        <v>0</v>
      </c>
      <c r="Q6" s="112">
        <v>2</v>
      </c>
      <c r="R6" s="112">
        <v>2</v>
      </c>
      <c r="S6" s="112">
        <v>2</v>
      </c>
      <c r="T6" s="112">
        <v>2</v>
      </c>
      <c r="U6" s="112">
        <v>1</v>
      </c>
      <c r="V6" s="112">
        <v>2</v>
      </c>
      <c r="W6" s="112">
        <f>'Tore (2)'!W21</f>
        <v>0</v>
      </c>
      <c r="X6" s="112">
        <v>3</v>
      </c>
      <c r="Y6" s="112">
        <v>4</v>
      </c>
      <c r="Z6" s="112">
        <f>'Tore (2)'!Z21</f>
        <v>0</v>
      </c>
      <c r="AA6" s="112">
        <f>'Tore (2)'!AA21</f>
        <v>0</v>
      </c>
      <c r="AB6" s="112">
        <f>'Tore (2)'!AB21</f>
        <v>0</v>
      </c>
      <c r="AC6" s="112">
        <v>0</v>
      </c>
      <c r="AD6" s="112">
        <v>1</v>
      </c>
      <c r="AE6" s="112">
        <v>1</v>
      </c>
      <c r="AF6" s="112">
        <v>1</v>
      </c>
      <c r="AG6" s="112">
        <v>2</v>
      </c>
      <c r="AH6" s="112">
        <f>'Tore (2)'!AH21</f>
        <v>0</v>
      </c>
      <c r="AI6" s="112">
        <v>0</v>
      </c>
      <c r="AJ6" s="112">
        <f>'Tore (2)'!AJ21</f>
        <v>0</v>
      </c>
      <c r="AK6" s="112">
        <f>'Tore (2)'!AK21</f>
        <v>0</v>
      </c>
      <c r="AL6" s="112">
        <v>1</v>
      </c>
      <c r="AM6" s="112">
        <v>2</v>
      </c>
      <c r="AN6" s="112">
        <f>'Tore (2)'!AN21</f>
        <v>0</v>
      </c>
      <c r="AO6" s="112">
        <f>'Tore (2)'!AO21</f>
        <v>0</v>
      </c>
      <c r="AP6" s="112">
        <f>'Tore (2)'!AP21</f>
        <v>0</v>
      </c>
      <c r="AQ6" s="112">
        <v>1</v>
      </c>
      <c r="AR6" s="112">
        <f>'Tore (2)'!AR21</f>
        <v>0</v>
      </c>
      <c r="AS6" s="112">
        <f>'Tore (2)'!AS21</f>
        <v>0</v>
      </c>
      <c r="AT6" s="25">
        <f t="shared" ref="AT6:AT18" si="0">SUM(E6:AR6)</f>
        <v>33</v>
      </c>
      <c r="AU6" s="72"/>
    </row>
    <row r="7" spans="2:47" x14ac:dyDescent="0.25">
      <c r="B7" s="4">
        <v>2</v>
      </c>
      <c r="C7" s="75"/>
      <c r="D7" s="115" t="s">
        <v>21</v>
      </c>
      <c r="E7" s="112">
        <v>1</v>
      </c>
      <c r="F7" s="112">
        <v>0</v>
      </c>
      <c r="G7" s="112">
        <v>0</v>
      </c>
      <c r="H7" s="112">
        <f>'Tore (2)'!H12</f>
        <v>0</v>
      </c>
      <c r="I7" s="112">
        <v>2</v>
      </c>
      <c r="J7" s="112">
        <v>1</v>
      </c>
      <c r="K7" s="112">
        <v>1</v>
      </c>
      <c r="L7" s="112">
        <v>1</v>
      </c>
      <c r="M7" s="112">
        <v>1</v>
      </c>
      <c r="N7" s="112">
        <f>'Tore (2)'!N12</f>
        <v>0</v>
      </c>
      <c r="O7" s="112">
        <v>1</v>
      </c>
      <c r="P7" s="112">
        <v>1</v>
      </c>
      <c r="Q7" s="112">
        <v>0</v>
      </c>
      <c r="R7" s="112">
        <v>1</v>
      </c>
      <c r="S7" s="112">
        <v>0</v>
      </c>
      <c r="T7" s="112">
        <f>'Tore (2)'!T12</f>
        <v>0</v>
      </c>
      <c r="U7" s="112">
        <v>2</v>
      </c>
      <c r="V7" s="112">
        <f>'Tore (2)'!V12</f>
        <v>0</v>
      </c>
      <c r="W7" s="112">
        <f>'Tore (2)'!W12</f>
        <v>0</v>
      </c>
      <c r="X7" s="112">
        <v>0</v>
      </c>
      <c r="Y7" s="112">
        <v>1</v>
      </c>
      <c r="Z7" s="112">
        <v>0</v>
      </c>
      <c r="AA7" s="112">
        <v>4</v>
      </c>
      <c r="AB7" s="112">
        <v>3</v>
      </c>
      <c r="AC7" s="112">
        <v>1</v>
      </c>
      <c r="AD7" s="112">
        <v>1</v>
      </c>
      <c r="AE7" s="112">
        <v>0</v>
      </c>
      <c r="AF7" s="112">
        <v>2</v>
      </c>
      <c r="AG7" s="112">
        <v>0</v>
      </c>
      <c r="AH7" s="112">
        <f>'Tore (2)'!AH12</f>
        <v>0</v>
      </c>
      <c r="AI7" s="112">
        <f>'Tore (2)'!AI12</f>
        <v>0</v>
      </c>
      <c r="AJ7" s="112">
        <f>'Tore (2)'!AJ12</f>
        <v>0</v>
      </c>
      <c r="AK7" s="112">
        <v>1</v>
      </c>
      <c r="AL7" s="112">
        <v>0</v>
      </c>
      <c r="AM7" s="112">
        <v>2</v>
      </c>
      <c r="AN7" s="112">
        <v>1</v>
      </c>
      <c r="AO7" s="112">
        <f>'Tore (2)'!AO12</f>
        <v>0</v>
      </c>
      <c r="AP7" s="112">
        <v>1</v>
      </c>
      <c r="AQ7" s="112">
        <v>1</v>
      </c>
      <c r="AR7" s="112">
        <f>'Tore (2)'!AR12</f>
        <v>0</v>
      </c>
      <c r="AS7" s="112">
        <f>'Tore (2)'!AS12</f>
        <v>0</v>
      </c>
      <c r="AT7" s="25">
        <f t="shared" si="0"/>
        <v>30</v>
      </c>
      <c r="AU7" s="73"/>
    </row>
    <row r="8" spans="2:47" x14ac:dyDescent="0.25">
      <c r="B8" s="4">
        <v>3</v>
      </c>
      <c r="C8" s="75"/>
      <c r="D8" s="115" t="s">
        <v>22</v>
      </c>
      <c r="E8" s="112">
        <v>0</v>
      </c>
      <c r="F8" s="112">
        <v>0</v>
      </c>
      <c r="G8" s="112">
        <f>'Tore (2)'!G10</f>
        <v>0</v>
      </c>
      <c r="H8" s="112">
        <v>0</v>
      </c>
      <c r="I8" s="112">
        <v>1</v>
      </c>
      <c r="J8" s="112">
        <v>0</v>
      </c>
      <c r="K8" s="112">
        <v>0</v>
      </c>
      <c r="L8" s="112">
        <v>1</v>
      </c>
      <c r="M8" s="112">
        <v>0</v>
      </c>
      <c r="N8" s="112">
        <v>0</v>
      </c>
      <c r="O8" s="112">
        <v>1</v>
      </c>
      <c r="P8" s="112">
        <f>'Tore (2)'!P10</f>
        <v>0</v>
      </c>
      <c r="Q8" s="112">
        <v>0</v>
      </c>
      <c r="R8" s="112">
        <v>0</v>
      </c>
      <c r="S8" s="112">
        <v>0</v>
      </c>
      <c r="T8" s="112">
        <v>2</v>
      </c>
      <c r="U8" s="112">
        <v>0</v>
      </c>
      <c r="V8" s="112">
        <v>0</v>
      </c>
      <c r="W8" s="112">
        <v>2</v>
      </c>
      <c r="X8" s="112">
        <v>2</v>
      </c>
      <c r="Y8" s="112">
        <v>1</v>
      </c>
      <c r="Z8" s="112">
        <v>1</v>
      </c>
      <c r="AA8" s="112">
        <v>1</v>
      </c>
      <c r="AB8" s="112">
        <v>2</v>
      </c>
      <c r="AC8" s="112">
        <v>1</v>
      </c>
      <c r="AD8" s="112">
        <v>1</v>
      </c>
      <c r="AE8" s="112">
        <f>'Tore (2)'!AE10</f>
        <v>0</v>
      </c>
      <c r="AF8" s="112">
        <v>2</v>
      </c>
      <c r="AG8" s="112">
        <v>0</v>
      </c>
      <c r="AH8" s="112">
        <v>0</v>
      </c>
      <c r="AI8" s="112">
        <v>1</v>
      </c>
      <c r="AJ8" s="112">
        <f>'Tore (2)'!AJ10</f>
        <v>0</v>
      </c>
      <c r="AK8" s="112">
        <f>'Tore (2)'!AK10</f>
        <v>0</v>
      </c>
      <c r="AL8" s="112">
        <f>'Tore (2)'!AL10</f>
        <v>0</v>
      </c>
      <c r="AM8" s="112">
        <f>'Tore (2)'!AM10</f>
        <v>0</v>
      </c>
      <c r="AN8" s="112">
        <f>'Tore (2)'!AN10</f>
        <v>0</v>
      </c>
      <c r="AO8" s="112">
        <v>2</v>
      </c>
      <c r="AP8" s="112">
        <f>'Tore (2)'!AP10</f>
        <v>0</v>
      </c>
      <c r="AQ8" s="112">
        <f>'Tore (2)'!AQ10</f>
        <v>0</v>
      </c>
      <c r="AR8" s="112">
        <v>1</v>
      </c>
      <c r="AS8" s="112">
        <f>'Tore (2)'!AS10</f>
        <v>0</v>
      </c>
      <c r="AT8" s="25">
        <f t="shared" si="0"/>
        <v>22</v>
      </c>
      <c r="AU8" s="73"/>
    </row>
    <row r="9" spans="2:47" x14ac:dyDescent="0.25">
      <c r="B9" s="4">
        <v>4</v>
      </c>
      <c r="C9" s="75"/>
      <c r="D9" s="115" t="s">
        <v>13</v>
      </c>
      <c r="E9" s="112">
        <v>0</v>
      </c>
      <c r="F9" s="112">
        <f>'Tore (2)'!F16</f>
        <v>0</v>
      </c>
      <c r="G9" s="112">
        <v>0</v>
      </c>
      <c r="H9" s="112">
        <v>1</v>
      </c>
      <c r="I9" s="112">
        <v>2</v>
      </c>
      <c r="J9" s="112">
        <v>2</v>
      </c>
      <c r="K9" s="112">
        <f>'Tore (2)'!K16</f>
        <v>0</v>
      </c>
      <c r="L9" s="112">
        <v>1</v>
      </c>
      <c r="M9" s="112">
        <v>0</v>
      </c>
      <c r="N9" s="112">
        <v>0</v>
      </c>
      <c r="O9" s="112">
        <f>'Tore (2)'!O16</f>
        <v>0</v>
      </c>
      <c r="P9" s="112">
        <v>0</v>
      </c>
      <c r="Q9" s="112">
        <v>0</v>
      </c>
      <c r="R9" s="112">
        <f>'Tore (2)'!R16</f>
        <v>0</v>
      </c>
      <c r="S9" s="112">
        <v>0</v>
      </c>
      <c r="T9" s="112">
        <v>1</v>
      </c>
      <c r="U9" s="112">
        <v>0</v>
      </c>
      <c r="V9" s="112">
        <v>0</v>
      </c>
      <c r="W9" s="112">
        <v>0</v>
      </c>
      <c r="X9" s="112">
        <v>4</v>
      </c>
      <c r="Y9" s="112">
        <v>1</v>
      </c>
      <c r="Z9" s="112">
        <v>0</v>
      </c>
      <c r="AA9" s="112">
        <v>0</v>
      </c>
      <c r="AB9" s="112">
        <v>2</v>
      </c>
      <c r="AC9" s="112">
        <v>0</v>
      </c>
      <c r="AD9" s="112">
        <v>0</v>
      </c>
      <c r="AE9" s="112">
        <v>3</v>
      </c>
      <c r="AF9" s="112">
        <f>'Tore (2)'!AF16</f>
        <v>0</v>
      </c>
      <c r="AG9" s="112">
        <v>0</v>
      </c>
      <c r="AH9" s="112">
        <v>0</v>
      </c>
      <c r="AI9" s="112">
        <f>'Tore (2)'!AI16</f>
        <v>0</v>
      </c>
      <c r="AJ9" s="112">
        <f>'Tore (2)'!AJ16</f>
        <v>0</v>
      </c>
      <c r="AK9" s="112">
        <v>1</v>
      </c>
      <c r="AL9" s="112">
        <f>'Tore (2)'!AL16</f>
        <v>0</v>
      </c>
      <c r="AM9" s="112">
        <v>2</v>
      </c>
      <c r="AN9" s="112">
        <f>'Tore (2)'!AN16</f>
        <v>0</v>
      </c>
      <c r="AO9" s="112">
        <f>'Tore (2)'!AO16</f>
        <v>0</v>
      </c>
      <c r="AP9" s="112">
        <f>'Tore (2)'!AP16</f>
        <v>0</v>
      </c>
      <c r="AQ9" s="112">
        <f>'Tore (2)'!AQ16</f>
        <v>0</v>
      </c>
      <c r="AR9" s="112">
        <v>2</v>
      </c>
      <c r="AS9" s="112">
        <f>'Tore (2)'!AS16</f>
        <v>0</v>
      </c>
      <c r="AT9" s="25">
        <f t="shared" si="0"/>
        <v>22</v>
      </c>
      <c r="AU9" s="73">
        <v>1</v>
      </c>
    </row>
    <row r="10" spans="2:47" x14ac:dyDescent="0.25">
      <c r="B10" s="4">
        <v>5</v>
      </c>
      <c r="C10" s="75"/>
      <c r="D10" s="115" t="s">
        <v>25</v>
      </c>
      <c r="E10" s="112">
        <v>0</v>
      </c>
      <c r="F10" s="112">
        <f>'Tore (2)'!F7</f>
        <v>0</v>
      </c>
      <c r="G10" s="112">
        <v>0</v>
      </c>
      <c r="H10" s="112">
        <v>1</v>
      </c>
      <c r="I10" s="112">
        <v>0</v>
      </c>
      <c r="J10" s="112">
        <v>0</v>
      </c>
      <c r="K10" s="112">
        <v>0</v>
      </c>
      <c r="L10" s="112">
        <v>0</v>
      </c>
      <c r="M10" s="112">
        <v>1</v>
      </c>
      <c r="N10" s="112">
        <v>1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112">
        <v>2</v>
      </c>
      <c r="V10" s="112">
        <v>1</v>
      </c>
      <c r="W10" s="112">
        <v>1</v>
      </c>
      <c r="X10" s="112">
        <v>0</v>
      </c>
      <c r="Y10" s="112">
        <v>0</v>
      </c>
      <c r="Z10" s="112">
        <v>1</v>
      </c>
      <c r="AA10" s="112">
        <v>0</v>
      </c>
      <c r="AB10" s="112">
        <f>'Tore (2)'!AB7</f>
        <v>0</v>
      </c>
      <c r="AC10" s="112">
        <v>0</v>
      </c>
      <c r="AD10" s="112">
        <v>2</v>
      </c>
      <c r="AE10" s="112">
        <v>0</v>
      </c>
      <c r="AF10" s="112">
        <v>0</v>
      </c>
      <c r="AG10" s="112">
        <f>'Tore (2)'!AG7</f>
        <v>0</v>
      </c>
      <c r="AH10" s="112">
        <v>3</v>
      </c>
      <c r="AI10" s="112">
        <v>1</v>
      </c>
      <c r="AJ10" s="112">
        <v>2</v>
      </c>
      <c r="AK10" s="112">
        <f>'Tore (2)'!AK7</f>
        <v>0</v>
      </c>
      <c r="AL10" s="112">
        <v>0</v>
      </c>
      <c r="AM10" s="112">
        <f>'Tore (2)'!AM7</f>
        <v>0</v>
      </c>
      <c r="AN10" s="112">
        <v>2</v>
      </c>
      <c r="AO10" s="112">
        <f>'Tore (2)'!AO7</f>
        <v>0</v>
      </c>
      <c r="AP10" s="112">
        <f>'Tore (2)'!AP7</f>
        <v>0</v>
      </c>
      <c r="AQ10" s="112">
        <v>2</v>
      </c>
      <c r="AR10" s="112">
        <f>'Tore (2)'!AR7</f>
        <v>0</v>
      </c>
      <c r="AS10" s="112">
        <f>'Tore (2)'!AS7</f>
        <v>0</v>
      </c>
      <c r="AT10" s="25">
        <f t="shared" si="0"/>
        <v>20</v>
      </c>
      <c r="AU10" s="73">
        <v>1</v>
      </c>
    </row>
    <row r="11" spans="2:47" x14ac:dyDescent="0.25">
      <c r="B11" s="4">
        <v>6</v>
      </c>
      <c r="C11" s="75"/>
      <c r="D11" s="115" t="s">
        <v>122</v>
      </c>
      <c r="E11" s="112">
        <f>'Tore (2)'!E23</f>
        <v>0</v>
      </c>
      <c r="F11" s="112">
        <f>'Tore (2)'!F23</f>
        <v>0</v>
      </c>
      <c r="G11" s="112">
        <v>2</v>
      </c>
      <c r="H11" s="112">
        <v>1</v>
      </c>
      <c r="I11" s="112">
        <v>2</v>
      </c>
      <c r="J11" s="112">
        <v>1</v>
      </c>
      <c r="K11" s="112">
        <f>'Tore (2)'!K23</f>
        <v>0</v>
      </c>
      <c r="L11" s="112">
        <f>'Tore (2)'!L23</f>
        <v>0</v>
      </c>
      <c r="M11" s="112">
        <v>2</v>
      </c>
      <c r="N11" s="112">
        <f>'Tore (2)'!N23</f>
        <v>0</v>
      </c>
      <c r="O11" s="112">
        <f>'Tore (2)'!O23</f>
        <v>0</v>
      </c>
      <c r="P11" s="112">
        <v>1</v>
      </c>
      <c r="Q11" s="112">
        <v>2</v>
      </c>
      <c r="R11" s="112">
        <f>'Tore (2)'!R23</f>
        <v>0</v>
      </c>
      <c r="S11" s="112">
        <f>'Tore (2)'!S23</f>
        <v>0</v>
      </c>
      <c r="T11" s="112">
        <f>'Tore (2)'!T23</f>
        <v>0</v>
      </c>
      <c r="U11" s="112">
        <f>'Tore (2)'!U23</f>
        <v>0</v>
      </c>
      <c r="V11" s="112">
        <v>0</v>
      </c>
      <c r="W11" s="112">
        <f>'Tore (2)'!W23</f>
        <v>0</v>
      </c>
      <c r="X11" s="112">
        <f>'Tore (2)'!X23</f>
        <v>0</v>
      </c>
      <c r="Y11" s="112">
        <f>'Tore (2)'!Y23</f>
        <v>0</v>
      </c>
      <c r="Z11" s="112">
        <f>'Tore (2)'!Z23</f>
        <v>0</v>
      </c>
      <c r="AA11" s="112">
        <f>'Tore (2)'!AA23</f>
        <v>0</v>
      </c>
      <c r="AB11" s="112">
        <f>'Tore (2)'!AB23</f>
        <v>0</v>
      </c>
      <c r="AC11" s="112">
        <f>'Tore (2)'!AC23</f>
        <v>0</v>
      </c>
      <c r="AD11" s="112">
        <f>'Tore (2)'!AD23</f>
        <v>0</v>
      </c>
      <c r="AE11" s="112">
        <v>1</v>
      </c>
      <c r="AF11" s="112">
        <v>1</v>
      </c>
      <c r="AG11" s="112">
        <v>0</v>
      </c>
      <c r="AH11" s="112">
        <f>'Tore (2)'!AH23</f>
        <v>0</v>
      </c>
      <c r="AI11" s="112">
        <f>'Tore (2)'!AI23</f>
        <v>0</v>
      </c>
      <c r="AJ11" s="112">
        <v>1</v>
      </c>
      <c r="AK11" s="112">
        <f>'Tore (2)'!AK23</f>
        <v>0</v>
      </c>
      <c r="AL11" s="112">
        <v>1</v>
      </c>
      <c r="AM11" s="112">
        <v>1</v>
      </c>
      <c r="AN11" s="112">
        <f>'Tore (2)'!AN23</f>
        <v>0</v>
      </c>
      <c r="AO11" s="112">
        <f>'Tore (2)'!AO23</f>
        <v>0</v>
      </c>
      <c r="AP11" s="112">
        <f>'Tore (2)'!AP23</f>
        <v>0</v>
      </c>
      <c r="AQ11" s="112">
        <v>2</v>
      </c>
      <c r="AR11" s="112">
        <f>'Tore (2)'!AR23</f>
        <v>0</v>
      </c>
      <c r="AS11" s="112">
        <f>'Tore (2)'!AS23</f>
        <v>0</v>
      </c>
      <c r="AT11" s="25">
        <f t="shared" si="0"/>
        <v>18</v>
      </c>
      <c r="AU11" s="73">
        <v>1</v>
      </c>
    </row>
    <row r="12" spans="2:47" x14ac:dyDescent="0.25">
      <c r="B12" s="4">
        <v>7</v>
      </c>
      <c r="C12" s="75"/>
      <c r="D12" s="115" t="s">
        <v>123</v>
      </c>
      <c r="E12" s="112">
        <f>'Tore (2)'!E13</f>
        <v>0</v>
      </c>
      <c r="F12" s="112">
        <f>'Tore (2)'!F13</f>
        <v>0</v>
      </c>
      <c r="G12" s="112">
        <v>1</v>
      </c>
      <c r="H12" s="112">
        <f>'Tore (2)'!H13</f>
        <v>0</v>
      </c>
      <c r="I12" s="112">
        <f>'Tore (2)'!I13</f>
        <v>0</v>
      </c>
      <c r="J12" s="112">
        <v>1</v>
      </c>
      <c r="K12" s="112">
        <f>'Tore (2)'!K13</f>
        <v>0</v>
      </c>
      <c r="L12" s="112">
        <f>'Tore (2)'!L13</f>
        <v>0</v>
      </c>
      <c r="M12" s="112">
        <f>'Tore (2)'!M13</f>
        <v>0</v>
      </c>
      <c r="N12" s="112">
        <f>'Tore (2)'!N13</f>
        <v>0</v>
      </c>
      <c r="O12" s="112">
        <f>'Tore (2)'!O13</f>
        <v>0</v>
      </c>
      <c r="P12" s="112">
        <v>1</v>
      </c>
      <c r="Q12" s="112">
        <f>'Tore (2)'!Q13</f>
        <v>0</v>
      </c>
      <c r="R12" s="112">
        <f>'Tore (2)'!R13</f>
        <v>0</v>
      </c>
      <c r="S12" s="112">
        <f>'Tore (2)'!S13</f>
        <v>0</v>
      </c>
      <c r="T12" s="112">
        <f>'Tore (2)'!T13</f>
        <v>0</v>
      </c>
      <c r="U12" s="112">
        <v>1</v>
      </c>
      <c r="V12" s="112">
        <f>'Tore (2)'!V13</f>
        <v>0</v>
      </c>
      <c r="W12" s="112">
        <f>'Tore (2)'!W13</f>
        <v>0</v>
      </c>
      <c r="X12" s="112">
        <v>3</v>
      </c>
      <c r="Y12" s="112">
        <f>'Tore (2)'!Y13</f>
        <v>0</v>
      </c>
      <c r="Z12" s="112">
        <f>'Tore (2)'!Z13</f>
        <v>0</v>
      </c>
      <c r="AA12" s="112">
        <v>3</v>
      </c>
      <c r="AB12" s="112">
        <v>1</v>
      </c>
      <c r="AC12" s="112">
        <f>'Tore (2)'!AC13</f>
        <v>0</v>
      </c>
      <c r="AD12" s="112">
        <f>'Tore (2)'!AD13</f>
        <v>0</v>
      </c>
      <c r="AE12" s="112">
        <v>0</v>
      </c>
      <c r="AF12" s="112">
        <f>'Tore (2)'!AF13</f>
        <v>0</v>
      </c>
      <c r="AG12" s="112">
        <v>2</v>
      </c>
      <c r="AH12" s="112">
        <v>1</v>
      </c>
      <c r="AI12" s="112">
        <f>'Tore (2)'!AI13</f>
        <v>0</v>
      </c>
      <c r="AJ12" s="112">
        <f>'Tore (2)'!AJ13</f>
        <v>0</v>
      </c>
      <c r="AK12" s="112">
        <v>3</v>
      </c>
      <c r="AL12" s="112">
        <f>'Tore (2)'!AL13</f>
        <v>0</v>
      </c>
      <c r="AM12" s="112">
        <f>'Tore (2)'!AM13</f>
        <v>0</v>
      </c>
      <c r="AN12" s="112">
        <f>'Tore (2)'!AN13</f>
        <v>0</v>
      </c>
      <c r="AO12" s="112">
        <f>'Tore (2)'!AO13</f>
        <v>0</v>
      </c>
      <c r="AP12" s="112">
        <f>'Tore (2)'!AP13</f>
        <v>0</v>
      </c>
      <c r="AQ12" s="112">
        <f>'Tore (2)'!AQ13</f>
        <v>0</v>
      </c>
      <c r="AR12" s="112">
        <f>'Tore (2)'!AR13</f>
        <v>0</v>
      </c>
      <c r="AS12" s="112">
        <f>'Tore (2)'!AS13</f>
        <v>0</v>
      </c>
      <c r="AT12" s="25">
        <f t="shared" si="0"/>
        <v>17</v>
      </c>
      <c r="AU12" s="73"/>
    </row>
    <row r="13" spans="2:47" x14ac:dyDescent="0.25">
      <c r="B13" s="4">
        <v>8</v>
      </c>
      <c r="C13" s="75"/>
      <c r="D13" s="115" t="s">
        <v>56</v>
      </c>
      <c r="E13" s="112">
        <v>1</v>
      </c>
      <c r="F13" s="112">
        <v>0</v>
      </c>
      <c r="G13" s="112">
        <v>2</v>
      </c>
      <c r="H13" s="112">
        <v>1</v>
      </c>
      <c r="I13" s="112">
        <f>'Tore (2)'!I18</f>
        <v>0</v>
      </c>
      <c r="J13" s="112">
        <f>'Tore (2)'!J18</f>
        <v>0</v>
      </c>
      <c r="K13" s="112">
        <v>1</v>
      </c>
      <c r="L13" s="112">
        <v>1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1</v>
      </c>
      <c r="Z13" s="112">
        <v>0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2">
        <v>0</v>
      </c>
      <c r="AG13" s="112">
        <v>0</v>
      </c>
      <c r="AH13" s="112">
        <v>0</v>
      </c>
      <c r="AI13" s="112">
        <v>0</v>
      </c>
      <c r="AJ13" s="112">
        <v>0</v>
      </c>
      <c r="AK13" s="112">
        <v>2</v>
      </c>
      <c r="AL13" s="112">
        <v>0</v>
      </c>
      <c r="AM13" s="112">
        <v>1</v>
      </c>
      <c r="AN13" s="112">
        <v>2</v>
      </c>
      <c r="AO13" s="112">
        <v>1</v>
      </c>
      <c r="AP13" s="112">
        <v>2</v>
      </c>
      <c r="AQ13" s="112">
        <f>'Tore (2)'!AQ18</f>
        <v>0</v>
      </c>
      <c r="AR13" s="112">
        <v>1</v>
      </c>
      <c r="AS13" s="112">
        <f>'Tore (2)'!AS18</f>
        <v>0</v>
      </c>
      <c r="AT13" s="25">
        <f t="shared" si="0"/>
        <v>16</v>
      </c>
      <c r="AU13" s="73"/>
    </row>
    <row r="14" spans="2:47" x14ac:dyDescent="0.25">
      <c r="B14" s="4">
        <v>9</v>
      </c>
      <c r="C14" s="75"/>
      <c r="D14" s="115" t="s">
        <v>14</v>
      </c>
      <c r="E14" s="112">
        <v>1</v>
      </c>
      <c r="F14" s="112">
        <v>0</v>
      </c>
      <c r="G14" s="112">
        <v>0</v>
      </c>
      <c r="H14" s="112">
        <v>0</v>
      </c>
      <c r="I14" s="112">
        <v>0</v>
      </c>
      <c r="J14" s="112">
        <v>0</v>
      </c>
      <c r="K14" s="112">
        <v>0</v>
      </c>
      <c r="L14" s="112">
        <f>'Tore (2)'!L9</f>
        <v>0</v>
      </c>
      <c r="M14" s="112">
        <v>0</v>
      </c>
      <c r="N14" s="112">
        <f>'Tore (2)'!N9</f>
        <v>0</v>
      </c>
      <c r="O14" s="112">
        <v>0</v>
      </c>
      <c r="P14" s="112">
        <f>'Tore (2)'!P9</f>
        <v>0</v>
      </c>
      <c r="Q14" s="112">
        <f>'Tore (2)'!Q9</f>
        <v>0</v>
      </c>
      <c r="R14" s="112">
        <v>0</v>
      </c>
      <c r="S14" s="112">
        <v>1</v>
      </c>
      <c r="T14" s="112">
        <f>'Tore (2)'!T9</f>
        <v>0</v>
      </c>
      <c r="U14" s="112">
        <v>2</v>
      </c>
      <c r="V14" s="112">
        <f>'Tore (2)'!V9</f>
        <v>0</v>
      </c>
      <c r="W14" s="112">
        <f>'Tore (2)'!W9</f>
        <v>0</v>
      </c>
      <c r="X14" s="112">
        <f>'Tore (2)'!X9</f>
        <v>0</v>
      </c>
      <c r="Y14" s="112">
        <v>0</v>
      </c>
      <c r="Z14" s="112">
        <f>'Tore (2)'!Z9</f>
        <v>0</v>
      </c>
      <c r="AA14" s="112">
        <v>2</v>
      </c>
      <c r="AB14" s="112">
        <v>0</v>
      </c>
      <c r="AC14" s="112">
        <v>2</v>
      </c>
      <c r="AD14" s="112">
        <f>'Tore (2)'!AD9</f>
        <v>0</v>
      </c>
      <c r="AE14" s="112">
        <v>2</v>
      </c>
      <c r="AF14" s="112">
        <v>1</v>
      </c>
      <c r="AG14" s="112">
        <v>0</v>
      </c>
      <c r="AH14" s="112">
        <v>0</v>
      </c>
      <c r="AI14" s="112">
        <v>3</v>
      </c>
      <c r="AJ14" s="112">
        <f>'Tore (2)'!AJ9</f>
        <v>0</v>
      </c>
      <c r="AK14" s="112">
        <f>'Tore (2)'!AK9</f>
        <v>0</v>
      </c>
      <c r="AL14" s="112">
        <v>0</v>
      </c>
      <c r="AM14" s="112">
        <f>'Tore (2)'!AM9</f>
        <v>0</v>
      </c>
      <c r="AN14" s="112">
        <f>'Tore (2)'!AN9</f>
        <v>0</v>
      </c>
      <c r="AO14" s="112">
        <f>'Tore (2)'!AO9</f>
        <v>0</v>
      </c>
      <c r="AP14" s="112">
        <f>'Tore (2)'!AP9</f>
        <v>0</v>
      </c>
      <c r="AQ14" s="112">
        <v>1</v>
      </c>
      <c r="AR14" s="112">
        <v>1</v>
      </c>
      <c r="AS14" s="112">
        <f>'Tore (2)'!AS9</f>
        <v>0</v>
      </c>
      <c r="AT14" s="25">
        <f t="shared" si="0"/>
        <v>16</v>
      </c>
      <c r="AU14" s="73"/>
    </row>
    <row r="15" spans="2:47" x14ac:dyDescent="0.25">
      <c r="B15" s="4">
        <v>10</v>
      </c>
      <c r="C15" s="75"/>
      <c r="D15" s="115" t="s">
        <v>15</v>
      </c>
      <c r="E15" s="112">
        <v>0</v>
      </c>
      <c r="F15" s="112">
        <v>0</v>
      </c>
      <c r="G15" s="112">
        <v>1</v>
      </c>
      <c r="H15" s="112">
        <v>1</v>
      </c>
      <c r="I15" s="112">
        <v>0</v>
      </c>
      <c r="J15" s="112">
        <v>0</v>
      </c>
      <c r="K15" s="112">
        <v>0</v>
      </c>
      <c r="L15" s="112">
        <v>0</v>
      </c>
      <c r="M15" s="112">
        <v>1</v>
      </c>
      <c r="N15" s="112">
        <v>0</v>
      </c>
      <c r="O15" s="112">
        <v>0</v>
      </c>
      <c r="P15" s="112">
        <v>0</v>
      </c>
      <c r="Q15" s="112">
        <f>'Tore (2)'!Q17</f>
        <v>0</v>
      </c>
      <c r="R15" s="112">
        <v>0</v>
      </c>
      <c r="S15" s="112">
        <v>1</v>
      </c>
      <c r="T15" s="112">
        <v>1</v>
      </c>
      <c r="U15" s="112">
        <v>0</v>
      </c>
      <c r="V15" s="112">
        <f>'Tore (2)'!V17</f>
        <v>0</v>
      </c>
      <c r="W15" s="112">
        <v>1</v>
      </c>
      <c r="X15" s="112">
        <f>'Tore (2)'!X17</f>
        <v>0</v>
      </c>
      <c r="Y15" s="112">
        <v>0</v>
      </c>
      <c r="Z15" s="112">
        <v>2</v>
      </c>
      <c r="AA15" s="112">
        <v>0</v>
      </c>
      <c r="AB15" s="112">
        <v>1</v>
      </c>
      <c r="AC15" s="112">
        <v>0</v>
      </c>
      <c r="AD15" s="112">
        <v>1</v>
      </c>
      <c r="AE15" s="112">
        <v>0</v>
      </c>
      <c r="AF15" s="112">
        <v>0</v>
      </c>
      <c r="AG15" s="112">
        <f>'Tore (2)'!AG17</f>
        <v>0</v>
      </c>
      <c r="AH15" s="112">
        <v>2</v>
      </c>
      <c r="AI15" s="112">
        <f>'Tore (2)'!AI17</f>
        <v>0</v>
      </c>
      <c r="AJ15" s="112">
        <v>0</v>
      </c>
      <c r="AK15" s="112">
        <v>1</v>
      </c>
      <c r="AL15" s="112">
        <f>'Tore (2)'!AL17</f>
        <v>0</v>
      </c>
      <c r="AM15" s="112">
        <f>'Tore (2)'!AM17</f>
        <v>0</v>
      </c>
      <c r="AN15" s="112">
        <f>'Tore (2)'!AN17</f>
        <v>0</v>
      </c>
      <c r="AO15" s="112">
        <f>'Tore (2)'!AO17</f>
        <v>0</v>
      </c>
      <c r="AP15" s="112">
        <f>'Tore (2)'!AP17</f>
        <v>0</v>
      </c>
      <c r="AQ15" s="112">
        <f>'Tore (2)'!AQ17</f>
        <v>0</v>
      </c>
      <c r="AR15" s="112">
        <f>'Tore (2)'!AR17</f>
        <v>0</v>
      </c>
      <c r="AS15" s="112">
        <f>'Tore (2)'!AS17</f>
        <v>0</v>
      </c>
      <c r="AT15" s="25">
        <f t="shared" si="0"/>
        <v>13</v>
      </c>
      <c r="AU15" s="73">
        <v>1</v>
      </c>
    </row>
    <row r="16" spans="2:47" x14ac:dyDescent="0.25">
      <c r="B16" s="4">
        <v>11</v>
      </c>
      <c r="C16" s="75"/>
      <c r="D16" s="115" t="s">
        <v>27</v>
      </c>
      <c r="E16" s="112">
        <f>'Tore (2)'!E20</f>
        <v>0</v>
      </c>
      <c r="F16" s="112">
        <v>1</v>
      </c>
      <c r="G16" s="112">
        <f>'Tore (2)'!G20</f>
        <v>0</v>
      </c>
      <c r="H16" s="112">
        <v>0</v>
      </c>
      <c r="I16" s="112">
        <v>0</v>
      </c>
      <c r="J16" s="112">
        <v>1</v>
      </c>
      <c r="K16" s="112">
        <v>2</v>
      </c>
      <c r="L16" s="112">
        <v>1</v>
      </c>
      <c r="M16" s="112">
        <v>0</v>
      </c>
      <c r="N16" s="112">
        <v>0</v>
      </c>
      <c r="O16" s="112">
        <v>1</v>
      </c>
      <c r="P16" s="112">
        <f>'Tore (2)'!P20</f>
        <v>0</v>
      </c>
      <c r="Q16" s="112">
        <v>1</v>
      </c>
      <c r="R16" s="112">
        <v>0</v>
      </c>
      <c r="S16" s="112">
        <v>0</v>
      </c>
      <c r="T16" s="112">
        <v>1</v>
      </c>
      <c r="U16" s="112">
        <v>0</v>
      </c>
      <c r="V16" s="112">
        <v>0</v>
      </c>
      <c r="W16" s="112">
        <v>0</v>
      </c>
      <c r="X16" s="112">
        <v>0</v>
      </c>
      <c r="Y16" s="112">
        <v>1</v>
      </c>
      <c r="Z16" s="112">
        <f>'Tore (2)'!Z20</f>
        <v>0</v>
      </c>
      <c r="AA16" s="112">
        <v>0</v>
      </c>
      <c r="AB16" s="112">
        <f>'Tore (2)'!AB20</f>
        <v>0</v>
      </c>
      <c r="AC16" s="112">
        <f>'Tore (2)'!AC20</f>
        <v>0</v>
      </c>
      <c r="AD16" s="112">
        <v>1</v>
      </c>
      <c r="AE16" s="112">
        <v>0</v>
      </c>
      <c r="AF16" s="112">
        <v>0</v>
      </c>
      <c r="AG16" s="112">
        <v>0</v>
      </c>
      <c r="AH16" s="112">
        <f>'Tore (2)'!AH20</f>
        <v>0</v>
      </c>
      <c r="AI16" s="112">
        <f>'Tore (2)'!AI20</f>
        <v>0</v>
      </c>
      <c r="AJ16" s="112">
        <f>'Tore (2)'!AJ20</f>
        <v>0</v>
      </c>
      <c r="AK16" s="112">
        <f>'Tore (2)'!AK20</f>
        <v>0</v>
      </c>
      <c r="AL16" s="112">
        <f>'Tore (2)'!AL20</f>
        <v>0</v>
      </c>
      <c r="AM16" s="112">
        <f>'Tore (2)'!AM20</f>
        <v>0</v>
      </c>
      <c r="AN16" s="112">
        <f>'Tore (2)'!AN20</f>
        <v>0</v>
      </c>
      <c r="AO16" s="112">
        <f>'Tore (2)'!AO20</f>
        <v>0</v>
      </c>
      <c r="AP16" s="112">
        <f>'Tore (2)'!AP20</f>
        <v>0</v>
      </c>
      <c r="AQ16" s="112">
        <v>2</v>
      </c>
      <c r="AR16" s="112">
        <f>'Tore (2)'!AR20</f>
        <v>0</v>
      </c>
      <c r="AS16" s="112">
        <f>'Tore (2)'!AS20</f>
        <v>0</v>
      </c>
      <c r="AT16" s="25">
        <f t="shared" si="0"/>
        <v>12</v>
      </c>
      <c r="AU16" s="73"/>
    </row>
    <row r="17" spans="2:47" x14ac:dyDescent="0.25">
      <c r="B17" s="4">
        <v>12</v>
      </c>
      <c r="C17" s="75"/>
      <c r="D17" s="115" t="s">
        <v>17</v>
      </c>
      <c r="E17" s="112">
        <f>'Tore (2)'!E11</f>
        <v>0</v>
      </c>
      <c r="F17" s="112">
        <f>'Tore (2)'!F11</f>
        <v>0</v>
      </c>
      <c r="G17" s="112">
        <f>'Tore (2)'!G11</f>
        <v>0</v>
      </c>
      <c r="H17" s="112">
        <f>'Tore (2)'!H11</f>
        <v>0</v>
      </c>
      <c r="I17" s="112">
        <f>'Tore (2)'!I11</f>
        <v>0</v>
      </c>
      <c r="J17" s="112">
        <v>0</v>
      </c>
      <c r="K17" s="112">
        <v>1</v>
      </c>
      <c r="L17" s="112">
        <f>'Tore (2)'!L11</f>
        <v>0</v>
      </c>
      <c r="M17" s="112">
        <v>1</v>
      </c>
      <c r="N17" s="112">
        <f>'Tore (2)'!N11</f>
        <v>0</v>
      </c>
      <c r="O17" s="112">
        <f>'Tore (2)'!O11</f>
        <v>0</v>
      </c>
      <c r="P17" s="112">
        <f>'Tore (2)'!P11</f>
        <v>0</v>
      </c>
      <c r="Q17" s="112">
        <f>'Tore (2)'!Q11</f>
        <v>0</v>
      </c>
      <c r="R17" s="112">
        <f>'Tore (2)'!R11</f>
        <v>0</v>
      </c>
      <c r="S17" s="112">
        <f>'Tore (2)'!S11</f>
        <v>0</v>
      </c>
      <c r="T17" s="112">
        <f>'Tore (2)'!T11</f>
        <v>0</v>
      </c>
      <c r="U17" s="112">
        <f>'Tore (2)'!U11</f>
        <v>0</v>
      </c>
      <c r="V17" s="112">
        <f>'Tore (2)'!V11</f>
        <v>0</v>
      </c>
      <c r="W17" s="112">
        <f>'Tore (2)'!W11</f>
        <v>0</v>
      </c>
      <c r="X17" s="112">
        <f>'Tore (2)'!X11</f>
        <v>0</v>
      </c>
      <c r="Y17" s="112">
        <f>'Tore (2)'!Y11</f>
        <v>0</v>
      </c>
      <c r="Z17" s="112">
        <f>'Tore (2)'!Z11</f>
        <v>0</v>
      </c>
      <c r="AA17" s="112">
        <f>'Tore (2)'!AA11</f>
        <v>0</v>
      </c>
      <c r="AB17" s="112">
        <v>1</v>
      </c>
      <c r="AC17" s="112">
        <f>'Tore (2)'!AC11</f>
        <v>0</v>
      </c>
      <c r="AD17" s="112">
        <f>'Tore (2)'!AD11</f>
        <v>0</v>
      </c>
      <c r="AE17" s="112">
        <v>0</v>
      </c>
      <c r="AF17" s="112">
        <v>1</v>
      </c>
      <c r="AG17" s="112">
        <v>0</v>
      </c>
      <c r="AH17" s="112">
        <f>'Tore (2)'!AH11</f>
        <v>0</v>
      </c>
      <c r="AI17" s="112">
        <f>'Tore (2)'!AI11</f>
        <v>0</v>
      </c>
      <c r="AJ17" s="112">
        <f>'Tore (2)'!AJ11</f>
        <v>0</v>
      </c>
      <c r="AK17" s="112">
        <f>'Tore (2)'!AK11</f>
        <v>0</v>
      </c>
      <c r="AL17" s="112">
        <f>'Tore (2)'!AL11</f>
        <v>0</v>
      </c>
      <c r="AM17" s="112">
        <f>'Tore (2)'!AM11</f>
        <v>0</v>
      </c>
      <c r="AN17" s="112">
        <f>'Tore (2)'!AN11</f>
        <v>0</v>
      </c>
      <c r="AO17" s="112">
        <f>'Tore (2)'!AO11</f>
        <v>0</v>
      </c>
      <c r="AP17" s="112">
        <f>'Tore (2)'!AP11</f>
        <v>0</v>
      </c>
      <c r="AQ17" s="112">
        <f>'Tore (2)'!AQ11</f>
        <v>0</v>
      </c>
      <c r="AR17" s="112">
        <f>'Tore (2)'!AR11</f>
        <v>0</v>
      </c>
      <c r="AS17" s="112">
        <f>'Tore (2)'!AS11</f>
        <v>0</v>
      </c>
      <c r="AT17" s="25">
        <f t="shared" si="0"/>
        <v>4</v>
      </c>
      <c r="AU17" s="73">
        <v>1</v>
      </c>
    </row>
    <row r="18" spans="2:47" x14ac:dyDescent="0.25">
      <c r="B18" s="4">
        <v>13</v>
      </c>
      <c r="C18" s="75"/>
      <c r="D18" s="115" t="s">
        <v>16</v>
      </c>
      <c r="E18" s="112">
        <f>'Tore (2)'!E15</f>
        <v>0</v>
      </c>
      <c r="F18" s="112">
        <v>0</v>
      </c>
      <c r="G18" s="112">
        <f>'Tore (2)'!G15</f>
        <v>0</v>
      </c>
      <c r="H18" s="112">
        <f>'Tore (2)'!H15</f>
        <v>0</v>
      </c>
      <c r="I18" s="112">
        <f>'Tore (2)'!I15</f>
        <v>0</v>
      </c>
      <c r="J18" s="112">
        <f>'Tore (2)'!J15</f>
        <v>0</v>
      </c>
      <c r="K18" s="112">
        <v>0</v>
      </c>
      <c r="L18" s="112">
        <f>'Tore (2)'!L15</f>
        <v>0</v>
      </c>
      <c r="M18" s="112">
        <f>'Tore (2)'!M15</f>
        <v>0</v>
      </c>
      <c r="N18" s="112">
        <v>0</v>
      </c>
      <c r="O18" s="112">
        <f>'Tore (2)'!O15</f>
        <v>0</v>
      </c>
      <c r="P18" s="112">
        <f>'Tore (2)'!P15</f>
        <v>0</v>
      </c>
      <c r="Q18" s="112">
        <f>'Tore (2)'!Q15</f>
        <v>0</v>
      </c>
      <c r="R18" s="112">
        <f>'Tore (2)'!R15</f>
        <v>0</v>
      </c>
      <c r="S18" s="112">
        <v>0</v>
      </c>
      <c r="T18" s="112">
        <f>'Tore (2)'!T15</f>
        <v>0</v>
      </c>
      <c r="U18" s="112">
        <f>'Tore (2)'!U15</f>
        <v>0</v>
      </c>
      <c r="V18" s="112">
        <v>0</v>
      </c>
      <c r="W18" s="112">
        <f>'Tore (2)'!W15</f>
        <v>0</v>
      </c>
      <c r="X18" s="112">
        <f>'Tore (2)'!X15</f>
        <v>0</v>
      </c>
      <c r="Y18" s="112">
        <v>1</v>
      </c>
      <c r="Z18" s="112">
        <f>'Tore (2)'!Z15</f>
        <v>0</v>
      </c>
      <c r="AA18" s="112">
        <v>0</v>
      </c>
      <c r="AB18" s="112">
        <v>0</v>
      </c>
      <c r="AC18" s="112">
        <f>'Tore (2)'!AC15</f>
        <v>0</v>
      </c>
      <c r="AD18" s="112">
        <f>'Tore (2)'!AD15</f>
        <v>0</v>
      </c>
      <c r="AE18" s="112">
        <v>0</v>
      </c>
      <c r="AF18" s="112">
        <v>0</v>
      </c>
      <c r="AG18" s="112">
        <f>'Tore (2)'!AG15</f>
        <v>0</v>
      </c>
      <c r="AH18" s="112">
        <v>0</v>
      </c>
      <c r="AI18" s="112">
        <f>'Tore (2)'!AI15</f>
        <v>0</v>
      </c>
      <c r="AJ18" s="112">
        <f>'Tore (2)'!AJ15</f>
        <v>0</v>
      </c>
      <c r="AK18" s="112">
        <f>'Tore (2)'!AK15</f>
        <v>0</v>
      </c>
      <c r="AL18" s="112">
        <v>0</v>
      </c>
      <c r="AM18" s="112">
        <f>'Tore (2)'!AM15</f>
        <v>0</v>
      </c>
      <c r="AN18" s="112">
        <f>'Tore (2)'!AN15</f>
        <v>0</v>
      </c>
      <c r="AO18" s="112">
        <f>'Tore (2)'!AO15</f>
        <v>0</v>
      </c>
      <c r="AP18" s="112">
        <f>'Tore (2)'!AP15</f>
        <v>0</v>
      </c>
      <c r="AQ18" s="112">
        <f>'Tore (2)'!AQ15</f>
        <v>0</v>
      </c>
      <c r="AR18" s="112">
        <f>'Tore (2)'!AR15</f>
        <v>0</v>
      </c>
      <c r="AS18" s="112">
        <f>'Tore (2)'!AS15</f>
        <v>0</v>
      </c>
      <c r="AT18" s="25">
        <f t="shared" si="0"/>
        <v>1</v>
      </c>
      <c r="AU18" s="73"/>
    </row>
    <row r="19" spans="2:47" x14ac:dyDescent="0.25">
      <c r="B19" s="4">
        <v>14</v>
      </c>
      <c r="C19" s="75"/>
      <c r="D19" s="115" t="s">
        <v>120</v>
      </c>
      <c r="E19" s="112">
        <f>'Tore (2)'!E6</f>
        <v>0</v>
      </c>
      <c r="F19" s="112">
        <f>'Tore (2)'!F6</f>
        <v>0</v>
      </c>
      <c r="G19" s="112">
        <f>'Tore (2)'!G6</f>
        <v>0</v>
      </c>
      <c r="H19" s="112">
        <f>'Tore (2)'!H6</f>
        <v>0</v>
      </c>
      <c r="I19" s="112">
        <f>'Tore (2)'!I6</f>
        <v>0</v>
      </c>
      <c r="J19" s="112">
        <f>'Tore (2)'!J6</f>
        <v>0</v>
      </c>
      <c r="K19" s="112">
        <f>'Tore (2)'!K6</f>
        <v>0</v>
      </c>
      <c r="L19" s="112">
        <f>'Tore (2)'!L6</f>
        <v>0</v>
      </c>
      <c r="M19" s="112">
        <f>'Tore (2)'!M6</f>
        <v>0</v>
      </c>
      <c r="N19" s="112">
        <f>'Tore (2)'!N6</f>
        <v>0</v>
      </c>
      <c r="O19" s="112">
        <f>'Tore (2)'!O6</f>
        <v>0</v>
      </c>
      <c r="P19" s="112">
        <f>'Tore (2)'!P6</f>
        <v>0</v>
      </c>
      <c r="Q19" s="112">
        <f>'Tore (2)'!Q6</f>
        <v>0</v>
      </c>
      <c r="R19" s="112">
        <f>'Tore (2)'!R6</f>
        <v>0</v>
      </c>
      <c r="S19" s="112">
        <f>'Tore (2)'!S6</f>
        <v>0</v>
      </c>
      <c r="T19" s="112">
        <f>'Tore (2)'!T6</f>
        <v>0</v>
      </c>
      <c r="U19" s="112">
        <v>0</v>
      </c>
      <c r="V19" s="112">
        <f>'Tore (2)'!V6</f>
        <v>0</v>
      </c>
      <c r="W19" s="112">
        <f>'Tore (2)'!W6</f>
        <v>0</v>
      </c>
      <c r="X19" s="112">
        <f>'Tore (2)'!X6</f>
        <v>0</v>
      </c>
      <c r="Y19" s="112">
        <f>'Tore (2)'!Y6</f>
        <v>0</v>
      </c>
      <c r="Z19" s="112">
        <f>'Tore (2)'!Z6</f>
        <v>0</v>
      </c>
      <c r="AA19" s="112">
        <f>'Tore (2)'!AA6</f>
        <v>0</v>
      </c>
      <c r="AB19" s="112">
        <f>'Tore (2)'!AB6</f>
        <v>0</v>
      </c>
      <c r="AC19" s="112">
        <f>'Tore (2)'!AC6</f>
        <v>0</v>
      </c>
      <c r="AD19" s="112">
        <f>'Tore (2)'!AD6</f>
        <v>0</v>
      </c>
      <c r="AE19" s="112">
        <v>0</v>
      </c>
      <c r="AF19" s="112">
        <f>'Tore (2)'!AF6</f>
        <v>0</v>
      </c>
      <c r="AG19" s="112">
        <v>0</v>
      </c>
      <c r="AH19" s="112">
        <f>'Tore (2)'!AH6</f>
        <v>0</v>
      </c>
      <c r="AI19" s="112">
        <f>'Tore (2)'!AI6</f>
        <v>0</v>
      </c>
      <c r="AJ19" s="112">
        <v>0</v>
      </c>
      <c r="AK19" s="112">
        <v>0</v>
      </c>
      <c r="AL19" s="112">
        <v>0</v>
      </c>
      <c r="AM19" s="112">
        <f>'Tore (2)'!AM6</f>
        <v>0</v>
      </c>
      <c r="AN19" s="112">
        <f>'Tore (2)'!AN6</f>
        <v>0</v>
      </c>
      <c r="AO19" s="112">
        <f>'Tore (2)'!AO6</f>
        <v>0</v>
      </c>
      <c r="AP19" s="112">
        <f>'Tore (2)'!AP6</f>
        <v>0</v>
      </c>
      <c r="AQ19" s="112">
        <f>'Tore (2)'!AQ6</f>
        <v>0</v>
      </c>
      <c r="AR19" s="112">
        <f>'Tore (2)'!AR6</f>
        <v>0</v>
      </c>
      <c r="AS19" s="112">
        <f>'Tore (2)'!AS6</f>
        <v>0</v>
      </c>
      <c r="AT19" s="25">
        <f t="shared" ref="AT19:AT23" si="1">SUM(E19:AR19)</f>
        <v>0</v>
      </c>
      <c r="AU19" s="73"/>
    </row>
    <row r="20" spans="2:47" x14ac:dyDescent="0.25">
      <c r="B20" s="4">
        <v>15</v>
      </c>
      <c r="C20" s="75"/>
      <c r="D20" s="115" t="s">
        <v>18</v>
      </c>
      <c r="E20" s="112">
        <f>'Tore (2)'!E19</f>
        <v>0</v>
      </c>
      <c r="F20" s="112">
        <f>'Tore (2)'!F19</f>
        <v>0</v>
      </c>
      <c r="G20" s="112">
        <f>'Tore (2)'!G19</f>
        <v>0</v>
      </c>
      <c r="H20" s="112">
        <f>'Tore (2)'!H19</f>
        <v>0</v>
      </c>
      <c r="I20" s="112">
        <f>'Tore (2)'!I19</f>
        <v>0</v>
      </c>
      <c r="J20" s="112">
        <f>'Tore (2)'!J19</f>
        <v>0</v>
      </c>
      <c r="K20" s="112">
        <f>'Tore (2)'!K19</f>
        <v>0</v>
      </c>
      <c r="L20" s="112">
        <f>'Tore (2)'!L19</f>
        <v>0</v>
      </c>
      <c r="M20" s="112">
        <f>'Tore (2)'!M19</f>
        <v>0</v>
      </c>
      <c r="N20" s="112">
        <f>'Tore (2)'!N19</f>
        <v>0</v>
      </c>
      <c r="O20" s="112">
        <f>'Tore (2)'!O19</f>
        <v>0</v>
      </c>
      <c r="P20" s="112">
        <f>'Tore (2)'!P19</f>
        <v>0</v>
      </c>
      <c r="Q20" s="112">
        <f>'Tore (2)'!Q19</f>
        <v>0</v>
      </c>
      <c r="R20" s="112">
        <f>'Tore (2)'!R19</f>
        <v>0</v>
      </c>
      <c r="S20" s="112">
        <f>'Tore (2)'!S19</f>
        <v>0</v>
      </c>
      <c r="T20" s="112">
        <f>'Tore (2)'!T19</f>
        <v>0</v>
      </c>
      <c r="U20" s="112">
        <v>0</v>
      </c>
      <c r="V20" s="112">
        <f>'Tore (2)'!V19</f>
        <v>0</v>
      </c>
      <c r="W20" s="112">
        <f>'Tore (2)'!W19</f>
        <v>0</v>
      </c>
      <c r="X20" s="112">
        <f>'Tore (2)'!X19</f>
        <v>0</v>
      </c>
      <c r="Y20" s="112">
        <f>'Tore (2)'!Y19</f>
        <v>0</v>
      </c>
      <c r="Z20" s="112">
        <f>'Tore (2)'!Z19</f>
        <v>0</v>
      </c>
      <c r="AA20" s="112">
        <v>0</v>
      </c>
      <c r="AB20" s="112">
        <v>0</v>
      </c>
      <c r="AC20" s="112">
        <f>'Tore (2)'!AC19</f>
        <v>0</v>
      </c>
      <c r="AD20" s="112">
        <f>'Tore (2)'!AD19</f>
        <v>0</v>
      </c>
      <c r="AE20" s="112">
        <v>0</v>
      </c>
      <c r="AF20" s="112">
        <f>'Tore (2)'!AF19</f>
        <v>0</v>
      </c>
      <c r="AG20" s="112">
        <v>0</v>
      </c>
      <c r="AH20" s="112">
        <v>0</v>
      </c>
      <c r="AI20" s="112">
        <f>'Tore (2)'!AI19</f>
        <v>0</v>
      </c>
      <c r="AJ20" s="112">
        <v>0</v>
      </c>
      <c r="AK20" s="112">
        <v>0</v>
      </c>
      <c r="AL20" s="112">
        <v>0</v>
      </c>
      <c r="AM20" s="112">
        <f>'Tore (2)'!AM19</f>
        <v>0</v>
      </c>
      <c r="AN20" s="112">
        <f>'Tore (2)'!AN19</f>
        <v>0</v>
      </c>
      <c r="AO20" s="112">
        <f>'Tore (2)'!AO19</f>
        <v>0</v>
      </c>
      <c r="AP20" s="112">
        <f>'Tore (2)'!AP19</f>
        <v>0</v>
      </c>
      <c r="AQ20" s="112">
        <f>'Tore (2)'!AQ19</f>
        <v>0</v>
      </c>
      <c r="AR20" s="112">
        <f>'Tore (2)'!AR19</f>
        <v>0</v>
      </c>
      <c r="AS20" s="112">
        <f>'Tore (2)'!AS19</f>
        <v>0</v>
      </c>
      <c r="AT20" s="25">
        <f t="shared" si="1"/>
        <v>0</v>
      </c>
      <c r="AU20" s="73"/>
    </row>
    <row r="21" spans="2:47" x14ac:dyDescent="0.25">
      <c r="B21" s="4">
        <v>16</v>
      </c>
      <c r="C21" s="75"/>
      <c r="D21" s="115" t="s">
        <v>19</v>
      </c>
      <c r="E21" s="112">
        <f>'Tore (2)'!E14</f>
        <v>0</v>
      </c>
      <c r="F21" s="112">
        <f>'Tore (2)'!F14</f>
        <v>0</v>
      </c>
      <c r="G21" s="112">
        <v>0</v>
      </c>
      <c r="H21" s="112">
        <f>'Tore (2)'!H14</f>
        <v>0</v>
      </c>
      <c r="I21" s="112">
        <f>'Tore (2)'!I14</f>
        <v>0</v>
      </c>
      <c r="J21" s="112">
        <f>'Tore (2)'!J14</f>
        <v>0</v>
      </c>
      <c r="K21" s="112">
        <f>'Tore (2)'!K14</f>
        <v>0</v>
      </c>
      <c r="L21" s="112">
        <f>'Tore (2)'!L14</f>
        <v>0</v>
      </c>
      <c r="M21" s="112">
        <f>'Tore (2)'!M14</f>
        <v>0</v>
      </c>
      <c r="N21" s="112">
        <f>'Tore (2)'!N14</f>
        <v>0</v>
      </c>
      <c r="O21" s="112">
        <f>'Tore (2)'!O14</f>
        <v>0</v>
      </c>
      <c r="P21" s="112">
        <f>'Tore (2)'!P14</f>
        <v>0</v>
      </c>
      <c r="Q21" s="112">
        <f>'Tore (2)'!Q14</f>
        <v>0</v>
      </c>
      <c r="R21" s="112">
        <f>'Tore (2)'!R14</f>
        <v>0</v>
      </c>
      <c r="S21" s="112">
        <f>'Tore (2)'!S14</f>
        <v>0</v>
      </c>
      <c r="T21" s="112">
        <f>'Tore (2)'!T14</f>
        <v>0</v>
      </c>
      <c r="U21" s="112">
        <f>'Tore (2)'!U14</f>
        <v>0</v>
      </c>
      <c r="V21" s="112">
        <f>'Tore (2)'!V14</f>
        <v>0</v>
      </c>
      <c r="W21" s="112">
        <f>'Tore (2)'!W14</f>
        <v>0</v>
      </c>
      <c r="X21" s="112">
        <f>'Tore (2)'!X14</f>
        <v>0</v>
      </c>
      <c r="Y21" s="112">
        <f>'Tore (2)'!Y14</f>
        <v>0</v>
      </c>
      <c r="Z21" s="112">
        <f>'Tore (2)'!Z14</f>
        <v>0</v>
      </c>
      <c r="AA21" s="112">
        <v>0</v>
      </c>
      <c r="AB21" s="112">
        <v>0</v>
      </c>
      <c r="AC21" s="112">
        <f>'Tore (2)'!AC14</f>
        <v>0</v>
      </c>
      <c r="AD21" s="112">
        <f>'Tore (2)'!AD14</f>
        <v>0</v>
      </c>
      <c r="AE21" s="112">
        <f>'Tore (2)'!AE14</f>
        <v>0</v>
      </c>
      <c r="AF21" s="112">
        <f>'Tore (2)'!AF14</f>
        <v>0</v>
      </c>
      <c r="AG21" s="112">
        <f>'Tore (2)'!AG14</f>
        <v>0</v>
      </c>
      <c r="AH21" s="112">
        <v>0</v>
      </c>
      <c r="AI21" s="112">
        <f>'Tore (2)'!AI14</f>
        <v>0</v>
      </c>
      <c r="AJ21" s="112">
        <f>'Tore (2)'!AJ14</f>
        <v>0</v>
      </c>
      <c r="AK21" s="112">
        <f>'Tore (2)'!AK14</f>
        <v>0</v>
      </c>
      <c r="AL21" s="112">
        <f>'Tore (2)'!AL14</f>
        <v>0</v>
      </c>
      <c r="AM21" s="112">
        <f>'Tore (2)'!AM14</f>
        <v>0</v>
      </c>
      <c r="AN21" s="112">
        <f>'Tore (2)'!AN14</f>
        <v>0</v>
      </c>
      <c r="AO21" s="112">
        <f>'Tore (2)'!AO14</f>
        <v>0</v>
      </c>
      <c r="AP21" s="112">
        <f>'Tore (2)'!AP14</f>
        <v>0</v>
      </c>
      <c r="AQ21" s="112">
        <f>'Tore (2)'!AQ14</f>
        <v>0</v>
      </c>
      <c r="AR21" s="112">
        <f>'Tore (2)'!AR14</f>
        <v>0</v>
      </c>
      <c r="AS21" s="112">
        <f>'Tore (2)'!AS14</f>
        <v>0</v>
      </c>
      <c r="AT21" s="25">
        <f t="shared" si="1"/>
        <v>0</v>
      </c>
      <c r="AU21" s="73"/>
    </row>
    <row r="22" spans="2:47" x14ac:dyDescent="0.25">
      <c r="B22" s="4">
        <v>17</v>
      </c>
      <c r="C22" s="75"/>
      <c r="D22" s="115" t="s">
        <v>28</v>
      </c>
      <c r="E22" s="112">
        <v>0</v>
      </c>
      <c r="F22" s="112">
        <f>'Tore (2)'!F8</f>
        <v>0</v>
      </c>
      <c r="G22" s="112">
        <v>0</v>
      </c>
      <c r="H22" s="112">
        <f>'Tore (2)'!H8</f>
        <v>0</v>
      </c>
      <c r="I22" s="112">
        <v>0</v>
      </c>
      <c r="J22" s="112">
        <f>'Tore (2)'!J8</f>
        <v>0</v>
      </c>
      <c r="K22" s="112">
        <f>'Tore (2)'!K8</f>
        <v>0</v>
      </c>
      <c r="L22" s="112">
        <f>'Tore (2)'!L8</f>
        <v>0</v>
      </c>
      <c r="M22" s="112">
        <f>'Tore (2)'!M8</f>
        <v>0</v>
      </c>
      <c r="N22" s="112">
        <f>'Tore (2)'!N8</f>
        <v>0</v>
      </c>
      <c r="O22" s="112">
        <v>0</v>
      </c>
      <c r="P22" s="112">
        <f>'Tore (2)'!P8</f>
        <v>0</v>
      </c>
      <c r="Q22" s="112">
        <v>0</v>
      </c>
      <c r="R22" s="112">
        <v>0</v>
      </c>
      <c r="S22" s="112">
        <v>0</v>
      </c>
      <c r="T22" s="112">
        <v>0</v>
      </c>
      <c r="U22" s="112">
        <v>0</v>
      </c>
      <c r="V22" s="112">
        <v>0</v>
      </c>
      <c r="W22" s="112">
        <f>'Tore (2)'!W8</f>
        <v>0</v>
      </c>
      <c r="X22" s="112">
        <v>0</v>
      </c>
      <c r="Y22" s="112">
        <v>0</v>
      </c>
      <c r="Z22" s="112">
        <f>'Tore (2)'!Z8</f>
        <v>0</v>
      </c>
      <c r="AA22" s="112">
        <f>'Tore (2)'!AA8</f>
        <v>0</v>
      </c>
      <c r="AB22" s="112">
        <f>'Tore (2)'!AB8</f>
        <v>0</v>
      </c>
      <c r="AC22" s="112">
        <v>0</v>
      </c>
      <c r="AD22" s="112">
        <v>0</v>
      </c>
      <c r="AE22" s="112">
        <v>0</v>
      </c>
      <c r="AF22" s="112">
        <v>0</v>
      </c>
      <c r="AG22" s="112">
        <v>0</v>
      </c>
      <c r="AH22" s="112">
        <f>'Tore (2)'!AH8</f>
        <v>0</v>
      </c>
      <c r="AI22" s="112">
        <v>0</v>
      </c>
      <c r="AJ22" s="112">
        <f>'Tore (2)'!AJ8</f>
        <v>0</v>
      </c>
      <c r="AK22" s="112">
        <f>'Tore (2)'!AK8</f>
        <v>0</v>
      </c>
      <c r="AL22" s="112">
        <v>0</v>
      </c>
      <c r="AM22" s="112">
        <v>0</v>
      </c>
      <c r="AN22" s="112">
        <f>'Tore (2)'!AN8</f>
        <v>0</v>
      </c>
      <c r="AO22" s="112">
        <f>'Tore (2)'!AO8</f>
        <v>0</v>
      </c>
      <c r="AP22" s="112">
        <f>'Tore (2)'!AP8</f>
        <v>0</v>
      </c>
      <c r="AQ22" s="112">
        <v>0</v>
      </c>
      <c r="AR22" s="112">
        <f>'Tore (2)'!AR8</f>
        <v>0</v>
      </c>
      <c r="AS22" s="112">
        <f>'Tore (2)'!AS8</f>
        <v>0</v>
      </c>
      <c r="AT22" s="25">
        <f t="shared" si="1"/>
        <v>0</v>
      </c>
      <c r="AU22" s="73"/>
    </row>
    <row r="23" spans="2:47" x14ac:dyDescent="0.25">
      <c r="B23" s="4">
        <v>18</v>
      </c>
      <c r="C23" s="75"/>
      <c r="D23" s="115" t="s">
        <v>24</v>
      </c>
      <c r="E23" s="112">
        <f>'Tore (2)'!E22</f>
        <v>0</v>
      </c>
      <c r="F23" s="112">
        <f>'Tore (2)'!F22</f>
        <v>0</v>
      </c>
      <c r="G23" s="112">
        <f>'Tore (2)'!G22</f>
        <v>0</v>
      </c>
      <c r="H23" s="112">
        <f>'Tore (2)'!H22</f>
        <v>0</v>
      </c>
      <c r="I23" s="112">
        <f>'Tore (2)'!I22</f>
        <v>0</v>
      </c>
      <c r="J23" s="112">
        <f>'Tore (2)'!J22</f>
        <v>0</v>
      </c>
      <c r="K23" s="112">
        <f>'Tore (2)'!K22</f>
        <v>0</v>
      </c>
      <c r="L23" s="112">
        <f>'Tore (2)'!L22</f>
        <v>0</v>
      </c>
      <c r="M23" s="112">
        <f>'Tore (2)'!M22</f>
        <v>0</v>
      </c>
      <c r="N23" s="112">
        <f>'Tore (2)'!N22</f>
        <v>0</v>
      </c>
      <c r="O23" s="112">
        <f>'Tore (2)'!O22</f>
        <v>0</v>
      </c>
      <c r="P23" s="112">
        <f>'Tore (2)'!P22</f>
        <v>0</v>
      </c>
      <c r="Q23" s="112">
        <f>'Tore (2)'!Q22</f>
        <v>0</v>
      </c>
      <c r="R23" s="112">
        <f>'Tore (2)'!R22</f>
        <v>0</v>
      </c>
      <c r="S23" s="112">
        <f>'Tore (2)'!S22</f>
        <v>0</v>
      </c>
      <c r="T23" s="112">
        <f>'Tore (2)'!T22</f>
        <v>0</v>
      </c>
      <c r="U23" s="112">
        <f>'Tore (2)'!U22</f>
        <v>0</v>
      </c>
      <c r="V23" s="112">
        <v>0</v>
      </c>
      <c r="W23" s="112">
        <f>'Tore (2)'!W22</f>
        <v>0</v>
      </c>
      <c r="X23" s="112">
        <f>'Tore (2)'!X22</f>
        <v>0</v>
      </c>
      <c r="Y23" s="112">
        <f>'Tore (2)'!Y22</f>
        <v>0</v>
      </c>
      <c r="Z23" s="112">
        <f>'Tore (2)'!Z22</f>
        <v>0</v>
      </c>
      <c r="AA23" s="112">
        <f>'Tore (2)'!AA22</f>
        <v>0</v>
      </c>
      <c r="AB23" s="112">
        <f>'Tore (2)'!AB22</f>
        <v>0</v>
      </c>
      <c r="AC23" s="112">
        <f>'Tore (2)'!AC22</f>
        <v>0</v>
      </c>
      <c r="AD23" s="112">
        <f>'Tore (2)'!AD22</f>
        <v>0</v>
      </c>
      <c r="AE23" s="112">
        <f>'Tore (2)'!AE22</f>
        <v>0</v>
      </c>
      <c r="AF23" s="112">
        <f>'Tore (2)'!AF22</f>
        <v>0</v>
      </c>
      <c r="AG23" s="112">
        <f>'Tore (2)'!AG22</f>
        <v>0</v>
      </c>
      <c r="AH23" s="112">
        <f>'Tore (2)'!AH22</f>
        <v>0</v>
      </c>
      <c r="AI23" s="112">
        <f>'Tore (2)'!AI22</f>
        <v>0</v>
      </c>
      <c r="AJ23" s="112">
        <f>'Tore (2)'!AJ22</f>
        <v>0</v>
      </c>
      <c r="AK23" s="112">
        <f>'Tore (2)'!AK22</f>
        <v>0</v>
      </c>
      <c r="AL23" s="112">
        <f>'Tore (2)'!AL22</f>
        <v>0</v>
      </c>
      <c r="AM23" s="112">
        <f>'Tore (2)'!AM22</f>
        <v>0</v>
      </c>
      <c r="AN23" s="112">
        <f>'Tore (2)'!AN22</f>
        <v>0</v>
      </c>
      <c r="AO23" s="112">
        <f>'Tore (2)'!AO22</f>
        <v>0</v>
      </c>
      <c r="AP23" s="112">
        <f>'Tore (2)'!AP22</f>
        <v>0</v>
      </c>
      <c r="AQ23" s="112">
        <f>'Tore (2)'!AQ22</f>
        <v>0</v>
      </c>
      <c r="AR23" s="112">
        <f>'Tore (2)'!AR22</f>
        <v>0</v>
      </c>
      <c r="AS23" s="112">
        <f>'Tore (2)'!AS22</f>
        <v>0</v>
      </c>
      <c r="AT23" s="25">
        <f t="shared" si="1"/>
        <v>0</v>
      </c>
      <c r="AU23" s="73"/>
    </row>
    <row r="24" spans="2:47" ht="15.75" thickBot="1" x14ac:dyDescent="0.3">
      <c r="B24" s="32">
        <v>19</v>
      </c>
      <c r="C24" s="76"/>
      <c r="D24" s="110" t="s">
        <v>26</v>
      </c>
      <c r="E24" s="112">
        <f>'Tore (2)'!E22</f>
        <v>0</v>
      </c>
      <c r="F24" s="112">
        <f>'Tore (2)'!F22</f>
        <v>0</v>
      </c>
      <c r="G24" s="112">
        <f>'Tore (2)'!G22</f>
        <v>0</v>
      </c>
      <c r="H24" s="112">
        <f>'Tore (2)'!H22</f>
        <v>0</v>
      </c>
      <c r="I24" s="112">
        <f>'Tore (2)'!I22</f>
        <v>0</v>
      </c>
      <c r="J24" s="112">
        <f>'Tore (2)'!J22</f>
        <v>0</v>
      </c>
      <c r="K24" s="112">
        <f>'Tore (2)'!K22</f>
        <v>0</v>
      </c>
      <c r="L24" s="112">
        <f>'Tore (2)'!L22</f>
        <v>0</v>
      </c>
      <c r="M24" s="112">
        <f>'Tore (2)'!M22</f>
        <v>0</v>
      </c>
      <c r="N24" s="112">
        <f>'Tore (2)'!N22</f>
        <v>0</v>
      </c>
      <c r="O24" s="112">
        <f>'Tore (2)'!O22</f>
        <v>0</v>
      </c>
      <c r="P24" s="112">
        <f>'Tore (2)'!P22</f>
        <v>0</v>
      </c>
      <c r="Q24" s="112">
        <f>'Tore (2)'!Q22</f>
        <v>0</v>
      </c>
      <c r="R24" s="112">
        <f>'Tore (2)'!R22</f>
        <v>0</v>
      </c>
      <c r="S24" s="112">
        <v>0</v>
      </c>
      <c r="T24" s="112">
        <f>'Tore (2)'!T22</f>
        <v>0</v>
      </c>
      <c r="U24" s="112">
        <f>'Tore (2)'!U22</f>
        <v>0</v>
      </c>
      <c r="V24" s="112">
        <v>0</v>
      </c>
      <c r="W24" s="112">
        <f>'Tore (2)'!W22</f>
        <v>0</v>
      </c>
      <c r="X24" s="112">
        <f>'Tore (2)'!X22</f>
        <v>0</v>
      </c>
      <c r="Y24" s="112">
        <f>'Tore (2)'!Y22</f>
        <v>0</v>
      </c>
      <c r="Z24" s="112">
        <f>'Tore (2)'!Z22</f>
        <v>0</v>
      </c>
      <c r="AA24" s="112">
        <f>'Tore (2)'!AA22</f>
        <v>0</v>
      </c>
      <c r="AB24" s="112">
        <f>'Tore (2)'!AB22</f>
        <v>0</v>
      </c>
      <c r="AC24" s="112">
        <f>'Tore (2)'!AC22</f>
        <v>0</v>
      </c>
      <c r="AD24" s="112">
        <f>'Tore (2)'!AD22</f>
        <v>0</v>
      </c>
      <c r="AE24" s="112">
        <f>'Tore (2)'!AE22</f>
        <v>0</v>
      </c>
      <c r="AF24" s="112">
        <f>'Tore (2)'!AF22</f>
        <v>0</v>
      </c>
      <c r="AG24" s="112">
        <f>'Tore (2)'!AG22</f>
        <v>0</v>
      </c>
      <c r="AH24" s="112">
        <v>0</v>
      </c>
      <c r="AI24" s="112">
        <f>'Tore (2)'!AI22</f>
        <v>0</v>
      </c>
      <c r="AJ24" s="112">
        <f>'Tore (2)'!AJ22</f>
        <v>0</v>
      </c>
      <c r="AK24" s="112">
        <f>'Tore (2)'!AK22</f>
        <v>0</v>
      </c>
      <c r="AL24" s="112">
        <f>'Tore (2)'!AL22</f>
        <v>0</v>
      </c>
      <c r="AM24" s="112">
        <f>'Tore (2)'!AM22</f>
        <v>0</v>
      </c>
      <c r="AN24" s="112">
        <f>'Tore (2)'!AN22</f>
        <v>0</v>
      </c>
      <c r="AO24" s="112">
        <f>'Tore (2)'!AO22</f>
        <v>0</v>
      </c>
      <c r="AP24" s="112">
        <f>'Tore (2)'!AP22</f>
        <v>0</v>
      </c>
      <c r="AQ24" s="112">
        <f>'Tore (2)'!AQ22</f>
        <v>0</v>
      </c>
      <c r="AR24" s="112">
        <f>'Tore (2)'!AR22</f>
        <v>0</v>
      </c>
      <c r="AS24" s="112">
        <f>'Tore (2)'!AS22</f>
        <v>0</v>
      </c>
      <c r="AT24" s="29">
        <f t="shared" ref="AT24" si="2">SUM(E24:AR24)</f>
        <v>0</v>
      </c>
      <c r="AU24" s="74"/>
    </row>
    <row r="25" spans="2:47" ht="15.75" thickBot="1" x14ac:dyDescent="0.3">
      <c r="O25" s="242"/>
      <c r="AT25" s="43"/>
    </row>
    <row r="26" spans="2:47" ht="19.5" thickBot="1" x14ac:dyDescent="0.35">
      <c r="B26" s="327" t="s">
        <v>75</v>
      </c>
      <c r="C26" s="328"/>
      <c r="D26" s="329"/>
      <c r="E26" s="120" t="s">
        <v>30</v>
      </c>
      <c r="F26" s="121" t="s">
        <v>9</v>
      </c>
      <c r="G26" s="121" t="s">
        <v>76</v>
      </c>
      <c r="H26" s="122" t="s">
        <v>77</v>
      </c>
      <c r="I26" s="123" t="s">
        <v>78</v>
      </c>
      <c r="O26" s="242"/>
      <c r="S26" s="150" t="s">
        <v>83</v>
      </c>
      <c r="T26" s="151"/>
      <c r="AR26" s="119" t="s">
        <v>57</v>
      </c>
      <c r="AS26" s="116"/>
      <c r="AT26" s="117">
        <f>SUM(AT6:AT24)+AU26</f>
        <v>229</v>
      </c>
      <c r="AU26" s="118">
        <f>SUM(AU6:AU24)</f>
        <v>5</v>
      </c>
    </row>
    <row r="27" spans="2:47" ht="15.75" x14ac:dyDescent="0.25">
      <c r="B27" s="124" t="s">
        <v>39</v>
      </c>
      <c r="C27" s="125"/>
      <c r="D27" s="126"/>
      <c r="E27" s="197">
        <v>223</v>
      </c>
      <c r="F27" s="125">
        <v>40</v>
      </c>
      <c r="G27" s="125">
        <v>5.58</v>
      </c>
      <c r="H27" s="198">
        <f>F27*60</f>
        <v>2400</v>
      </c>
      <c r="I27" s="199">
        <v>10.8</v>
      </c>
      <c r="S27" s="152" t="s">
        <v>84</v>
      </c>
      <c r="T27" s="153">
        <v>2</v>
      </c>
    </row>
    <row r="28" spans="2:47" ht="15.75" x14ac:dyDescent="0.25">
      <c r="B28" s="129" t="s">
        <v>40</v>
      </c>
      <c r="C28" s="130"/>
      <c r="D28" s="131"/>
      <c r="E28" s="132">
        <v>210</v>
      </c>
      <c r="F28" s="130">
        <v>40</v>
      </c>
      <c r="G28" s="130">
        <v>5.25</v>
      </c>
      <c r="H28" s="128">
        <f t="shared" ref="H28:H41" si="3">F28*60</f>
        <v>2400</v>
      </c>
      <c r="I28" s="133">
        <v>11.4</v>
      </c>
      <c r="S28" s="154" t="s">
        <v>85</v>
      </c>
      <c r="T28" s="155">
        <v>3</v>
      </c>
    </row>
    <row r="29" spans="2:47" ht="15.75" x14ac:dyDescent="0.25">
      <c r="B29" s="129" t="s">
        <v>41</v>
      </c>
      <c r="C29" s="130"/>
      <c r="D29" s="131"/>
      <c r="E29" s="132">
        <v>160</v>
      </c>
      <c r="F29" s="130">
        <v>36</v>
      </c>
      <c r="G29" s="130">
        <v>4.4400000000000004</v>
      </c>
      <c r="H29" s="128">
        <f t="shared" si="3"/>
        <v>2160</v>
      </c>
      <c r="I29" s="133">
        <v>13.5</v>
      </c>
      <c r="S29" s="154" t="s">
        <v>86</v>
      </c>
      <c r="T29" s="155">
        <v>7</v>
      </c>
    </row>
    <row r="30" spans="2:47" ht="15.75" x14ac:dyDescent="0.25">
      <c r="B30" s="129" t="s">
        <v>42</v>
      </c>
      <c r="C30" s="130"/>
      <c r="D30" s="131"/>
      <c r="E30" s="132">
        <v>219</v>
      </c>
      <c r="F30" s="130">
        <v>39</v>
      </c>
      <c r="G30" s="130">
        <v>5.62</v>
      </c>
      <c r="H30" s="128">
        <f t="shared" si="3"/>
        <v>2340</v>
      </c>
      <c r="I30" s="133">
        <v>10.7</v>
      </c>
      <c r="S30" s="154" t="s">
        <v>87</v>
      </c>
      <c r="T30" s="155">
        <v>12</v>
      </c>
    </row>
    <row r="31" spans="2:47" ht="15.75" x14ac:dyDescent="0.25">
      <c r="B31" s="129" t="s">
        <v>43</v>
      </c>
      <c r="C31" s="130"/>
      <c r="D31" s="131"/>
      <c r="E31" s="132">
        <v>261</v>
      </c>
      <c r="F31" s="130">
        <v>41</v>
      </c>
      <c r="G31" s="130">
        <v>6.37</v>
      </c>
      <c r="H31" s="128">
        <f t="shared" si="3"/>
        <v>2460</v>
      </c>
      <c r="I31" s="133">
        <v>9.4</v>
      </c>
      <c r="S31" s="154" t="s">
        <v>88</v>
      </c>
      <c r="T31" s="155">
        <v>11</v>
      </c>
    </row>
    <row r="32" spans="2:47" ht="15.75" x14ac:dyDescent="0.25">
      <c r="B32" s="129" t="s">
        <v>44</v>
      </c>
      <c r="C32" s="130"/>
      <c r="D32" s="131"/>
      <c r="E32" s="132">
        <v>191</v>
      </c>
      <c r="F32" s="130">
        <v>40</v>
      </c>
      <c r="G32" s="130">
        <v>4.78</v>
      </c>
      <c r="H32" s="128">
        <f t="shared" si="3"/>
        <v>2400</v>
      </c>
      <c r="I32" s="133">
        <v>12.6</v>
      </c>
      <c r="S32" s="154" t="s">
        <v>89</v>
      </c>
      <c r="T32" s="155">
        <v>3</v>
      </c>
    </row>
    <row r="33" spans="2:29" ht="15.75" x14ac:dyDescent="0.25">
      <c r="B33" s="129" t="s">
        <v>45</v>
      </c>
      <c r="C33" s="130"/>
      <c r="D33" s="131"/>
      <c r="E33" s="132">
        <v>158</v>
      </c>
      <c r="F33" s="130">
        <v>38</v>
      </c>
      <c r="G33" s="130">
        <v>4.16</v>
      </c>
      <c r="H33" s="128">
        <f t="shared" si="3"/>
        <v>2280</v>
      </c>
      <c r="I33" s="133">
        <v>14.4</v>
      </c>
      <c r="S33" s="154" t="s">
        <v>90</v>
      </c>
      <c r="T33" s="155">
        <v>2</v>
      </c>
    </row>
    <row r="34" spans="2:29" ht="15.75" x14ac:dyDescent="0.25">
      <c r="B34" s="134" t="s">
        <v>46</v>
      </c>
      <c r="C34" s="127"/>
      <c r="D34" s="135"/>
      <c r="E34" s="132">
        <v>140</v>
      </c>
      <c r="F34" s="130">
        <v>37</v>
      </c>
      <c r="G34" s="130">
        <v>3.78</v>
      </c>
      <c r="H34" s="128">
        <f t="shared" si="3"/>
        <v>2220</v>
      </c>
      <c r="I34" s="133">
        <v>15.8</v>
      </c>
      <c r="S34" s="154" t="s">
        <v>91</v>
      </c>
      <c r="T34" s="155"/>
    </row>
    <row r="35" spans="2:29" ht="15.75" x14ac:dyDescent="0.25">
      <c r="B35" s="129" t="s">
        <v>47</v>
      </c>
      <c r="C35" s="130"/>
      <c r="D35" s="131"/>
      <c r="E35" s="132">
        <v>187</v>
      </c>
      <c r="F35" s="130">
        <v>39</v>
      </c>
      <c r="G35" s="130">
        <v>4.79</v>
      </c>
      <c r="H35" s="128">
        <f t="shared" si="3"/>
        <v>2340</v>
      </c>
      <c r="I35" s="133">
        <v>12.5</v>
      </c>
      <c r="S35" s="154" t="s">
        <v>92</v>
      </c>
      <c r="T35" s="155"/>
    </row>
    <row r="36" spans="2:29" ht="16.5" thickBot="1" x14ac:dyDescent="0.3">
      <c r="B36" s="129" t="s">
        <v>48</v>
      </c>
      <c r="C36" s="130"/>
      <c r="D36" s="131"/>
      <c r="E36" s="132">
        <v>150</v>
      </c>
      <c r="F36" s="130">
        <v>41</v>
      </c>
      <c r="G36" s="130">
        <v>3.66</v>
      </c>
      <c r="H36" s="128">
        <f t="shared" si="3"/>
        <v>2460</v>
      </c>
      <c r="I36" s="133">
        <v>16.399999999999999</v>
      </c>
      <c r="S36" s="156" t="s">
        <v>93</v>
      </c>
      <c r="T36" s="157"/>
    </row>
    <row r="37" spans="2:29" ht="15.75" x14ac:dyDescent="0.25">
      <c r="B37" s="129" t="s">
        <v>49</v>
      </c>
      <c r="C37" s="130"/>
      <c r="D37" s="131"/>
      <c r="E37" s="132">
        <v>138</v>
      </c>
      <c r="F37" s="130">
        <v>38</v>
      </c>
      <c r="G37" s="130">
        <v>3.63</v>
      </c>
      <c r="H37" s="128">
        <f t="shared" si="3"/>
        <v>2280</v>
      </c>
      <c r="I37" s="133">
        <v>16.5</v>
      </c>
      <c r="T37">
        <f>SUM(T27:T36)</f>
        <v>40</v>
      </c>
    </row>
    <row r="38" spans="2:29" ht="15.75" x14ac:dyDescent="0.25">
      <c r="B38" s="129" t="s">
        <v>50</v>
      </c>
      <c r="C38" s="130"/>
      <c r="D38" s="131"/>
      <c r="E38" s="132">
        <v>120</v>
      </c>
      <c r="F38" s="130">
        <v>40</v>
      </c>
      <c r="G38" s="130">
        <v>3</v>
      </c>
      <c r="H38" s="128">
        <f t="shared" si="3"/>
        <v>2400</v>
      </c>
      <c r="I38" s="133">
        <v>20</v>
      </c>
    </row>
    <row r="39" spans="2:29" ht="16.5" thickBot="1" x14ac:dyDescent="0.3">
      <c r="B39" s="129" t="s">
        <v>51</v>
      </c>
      <c r="C39" s="130"/>
      <c r="D39" s="131"/>
      <c r="E39" s="132">
        <v>135</v>
      </c>
      <c r="F39" s="130">
        <v>37</v>
      </c>
      <c r="G39" s="174">
        <f t="shared" ref="G39:G44" si="4">E39/F39</f>
        <v>3.6486486486486487</v>
      </c>
      <c r="H39" s="128">
        <f t="shared" si="3"/>
        <v>2220</v>
      </c>
      <c r="I39" s="133">
        <v>16.399999999999999</v>
      </c>
    </row>
    <row r="40" spans="2:29" ht="16.5" thickBot="1" x14ac:dyDescent="0.3">
      <c r="B40" s="182" t="s">
        <v>94</v>
      </c>
      <c r="C40" s="183"/>
      <c r="D40" s="184"/>
      <c r="E40" s="185">
        <v>101</v>
      </c>
      <c r="F40" s="183">
        <v>38</v>
      </c>
      <c r="G40" s="183">
        <f t="shared" si="4"/>
        <v>2.6578947368421053</v>
      </c>
      <c r="H40" s="186">
        <f t="shared" si="3"/>
        <v>2280</v>
      </c>
      <c r="I40" s="187">
        <f t="shared" ref="I40:I46" si="5">H40/E40</f>
        <v>22.574257425742573</v>
      </c>
      <c r="K40" s="336" t="s">
        <v>101</v>
      </c>
      <c r="L40" s="337"/>
      <c r="M40" s="337"/>
      <c r="N40" s="338"/>
      <c r="Q40" s="158"/>
      <c r="R40" s="158"/>
      <c r="S40" s="318" t="s">
        <v>105</v>
      </c>
      <c r="T40" s="319"/>
      <c r="U40" s="319"/>
      <c r="V40" s="319"/>
      <c r="W40" s="320"/>
      <c r="X40" s="238">
        <v>3</v>
      </c>
    </row>
    <row r="41" spans="2:29" ht="16.5" thickBot="1" x14ac:dyDescent="0.3">
      <c r="B41" s="182" t="s">
        <v>95</v>
      </c>
      <c r="C41" s="183"/>
      <c r="D41" s="184"/>
      <c r="E41" s="185">
        <v>137</v>
      </c>
      <c r="F41" s="183">
        <v>40</v>
      </c>
      <c r="G41" s="183">
        <f t="shared" si="4"/>
        <v>3.4249999999999998</v>
      </c>
      <c r="H41" s="196">
        <f t="shared" si="3"/>
        <v>2400</v>
      </c>
      <c r="I41" s="187">
        <f t="shared" si="5"/>
        <v>17.518248175182482</v>
      </c>
      <c r="K41" s="330" t="s">
        <v>102</v>
      </c>
      <c r="L41" s="331"/>
      <c r="M41" s="331"/>
      <c r="N41" s="332"/>
      <c r="O41" s="193">
        <v>8</v>
      </c>
      <c r="S41" s="321" t="s">
        <v>106</v>
      </c>
      <c r="T41" s="322"/>
      <c r="U41" s="322"/>
      <c r="V41" s="322"/>
      <c r="W41" s="323"/>
      <c r="X41" s="238">
        <v>11</v>
      </c>
    </row>
    <row r="42" spans="2:29" ht="16.5" thickBot="1" x14ac:dyDescent="0.3">
      <c r="B42" s="182" t="s">
        <v>96</v>
      </c>
      <c r="C42" s="183"/>
      <c r="D42" s="184"/>
      <c r="E42" s="185">
        <v>93</v>
      </c>
      <c r="F42" s="183">
        <v>25</v>
      </c>
      <c r="G42" s="183">
        <f t="shared" si="4"/>
        <v>3.72</v>
      </c>
      <c r="H42" s="196">
        <v>1500</v>
      </c>
      <c r="I42" s="187">
        <f t="shared" si="5"/>
        <v>16.129032258064516</v>
      </c>
      <c r="K42" s="330" t="s">
        <v>103</v>
      </c>
      <c r="L42" s="331"/>
      <c r="M42" s="331"/>
      <c r="N42" s="332"/>
      <c r="O42" s="194">
        <v>13</v>
      </c>
      <c r="S42" s="321" t="s">
        <v>107</v>
      </c>
      <c r="T42" s="322"/>
      <c r="U42" s="322"/>
      <c r="V42" s="322"/>
      <c r="W42" s="323"/>
      <c r="X42" s="238">
        <v>7</v>
      </c>
    </row>
    <row r="43" spans="2:29" ht="16.5" thickBot="1" x14ac:dyDescent="0.3">
      <c r="B43" s="226" t="s">
        <v>115</v>
      </c>
      <c r="C43" s="227"/>
      <c r="D43" s="228"/>
      <c r="E43" s="229">
        <v>32</v>
      </c>
      <c r="F43" s="227">
        <v>11</v>
      </c>
      <c r="G43" s="227">
        <f t="shared" si="4"/>
        <v>2.9090909090909092</v>
      </c>
      <c r="H43" s="186">
        <v>660</v>
      </c>
      <c r="I43" s="230">
        <f t="shared" si="5"/>
        <v>20.625</v>
      </c>
      <c r="K43" s="333" t="s">
        <v>104</v>
      </c>
      <c r="L43" s="334"/>
      <c r="M43" s="334"/>
      <c r="N43" s="335"/>
      <c r="O43" s="195">
        <v>1</v>
      </c>
      <c r="S43" s="321" t="s">
        <v>108</v>
      </c>
      <c r="T43" s="322"/>
      <c r="U43" s="322"/>
      <c r="V43" s="322"/>
      <c r="W43" s="323"/>
      <c r="X43" s="239" t="s">
        <v>128</v>
      </c>
    </row>
    <row r="44" spans="2:29" ht="16.5" thickBot="1" x14ac:dyDescent="0.3">
      <c r="B44" s="182" t="s">
        <v>116</v>
      </c>
      <c r="C44" s="183"/>
      <c r="D44" s="184"/>
      <c r="E44" s="185">
        <v>123</v>
      </c>
      <c r="F44" s="183">
        <v>29</v>
      </c>
      <c r="G44" s="183">
        <f t="shared" si="4"/>
        <v>4.2413793103448274</v>
      </c>
      <c r="H44" s="196">
        <v>1740</v>
      </c>
      <c r="I44" s="187">
        <f t="shared" si="5"/>
        <v>14.146341463414634</v>
      </c>
      <c r="O44">
        <f>SUM(O41:O43)</f>
        <v>22</v>
      </c>
      <c r="S44" s="324" t="s">
        <v>109</v>
      </c>
      <c r="T44" s="325"/>
      <c r="U44" s="325"/>
      <c r="V44" s="325"/>
      <c r="W44" s="326"/>
      <c r="X44" s="238">
        <v>12</v>
      </c>
    </row>
    <row r="45" spans="2:29" ht="15.75" x14ac:dyDescent="0.25">
      <c r="B45" s="182" t="s">
        <v>117</v>
      </c>
      <c r="C45" s="183"/>
      <c r="D45" s="184"/>
      <c r="E45" s="185">
        <v>65</v>
      </c>
      <c r="F45" s="183">
        <v>18</v>
      </c>
      <c r="G45" s="183">
        <f t="shared" ref="G45:G46" si="6">E45/F45</f>
        <v>3.6111111111111112</v>
      </c>
      <c r="H45" s="196">
        <v>1080</v>
      </c>
      <c r="I45" s="187">
        <f t="shared" si="5"/>
        <v>16.615384615384617</v>
      </c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240"/>
    </row>
    <row r="46" spans="2:29" ht="15.75" x14ac:dyDescent="0.25">
      <c r="B46" s="182" t="s">
        <v>118</v>
      </c>
      <c r="C46" s="183"/>
      <c r="D46" s="184"/>
      <c r="E46" s="185">
        <v>145</v>
      </c>
      <c r="F46" s="183">
        <v>32</v>
      </c>
      <c r="G46" s="183">
        <f t="shared" si="6"/>
        <v>4.53125</v>
      </c>
      <c r="H46" s="196">
        <v>1920</v>
      </c>
      <c r="I46" s="187">
        <f t="shared" si="5"/>
        <v>13.241379310344827</v>
      </c>
    </row>
    <row r="47" spans="2:29" ht="15.75" x14ac:dyDescent="0.25">
      <c r="B47" s="182" t="s">
        <v>121</v>
      </c>
      <c r="C47" s="183"/>
      <c r="D47" s="184"/>
      <c r="E47" s="185">
        <v>234</v>
      </c>
      <c r="F47" s="183">
        <v>40</v>
      </c>
      <c r="G47" s="183">
        <f t="shared" ref="G47" si="7">E47/F47</f>
        <v>5.85</v>
      </c>
      <c r="H47" s="196">
        <v>2400</v>
      </c>
      <c r="I47" s="187">
        <f t="shared" ref="I47" si="8">H47/E47</f>
        <v>10.256410256410257</v>
      </c>
    </row>
    <row r="48" spans="2:29" ht="16.5" thickBot="1" x14ac:dyDescent="0.3">
      <c r="B48" s="188" t="s">
        <v>130</v>
      </c>
      <c r="C48" s="189"/>
      <c r="D48" s="190"/>
      <c r="E48" s="191"/>
      <c r="F48" s="189"/>
      <c r="G48" s="189" t="e">
        <f t="shared" ref="G48" si="9">E48/F48</f>
        <v>#DIV/0!</v>
      </c>
      <c r="H48" s="200"/>
      <c r="I48" s="192" t="e">
        <f t="shared" ref="I48" si="10">H48/E48</f>
        <v>#DIV/0!</v>
      </c>
    </row>
  </sheetData>
  <sortState xmlns:xlrd2="http://schemas.microsoft.com/office/spreadsheetml/2017/richdata2" ref="D5:AU18">
    <sortCondition descending="1" ref="AT5:AT18"/>
  </sortState>
  <mergeCells count="11">
    <mergeCell ref="B26:D26"/>
    <mergeCell ref="K41:N41"/>
    <mergeCell ref="K42:N42"/>
    <mergeCell ref="K43:N43"/>
    <mergeCell ref="K40:N40"/>
    <mergeCell ref="S45:AB45"/>
    <mergeCell ref="S40:W40"/>
    <mergeCell ref="S41:W41"/>
    <mergeCell ref="S42:W42"/>
    <mergeCell ref="S43:W43"/>
    <mergeCell ref="S44:W44"/>
  </mergeCells>
  <conditionalFormatting sqref="E6:AS2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8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AW40"/>
  <sheetViews>
    <sheetView zoomScale="77" zoomScaleNormal="77" workbookViewId="0">
      <selection activeCell="AR11" sqref="AR11"/>
    </sheetView>
  </sheetViews>
  <sheetFormatPr defaultColWidth="11.42578125" defaultRowHeight="15" x14ac:dyDescent="0.25"/>
  <cols>
    <col min="1" max="1" width="2.28515625" customWidth="1"/>
    <col min="2" max="3" width="7" customWidth="1"/>
    <col min="4" max="4" width="13.85546875" bestFit="1" customWidth="1"/>
    <col min="5" max="5" width="5.140625" bestFit="1" customWidth="1"/>
    <col min="6" max="6" width="6.28515625" bestFit="1" customWidth="1"/>
    <col min="7" max="7" width="7.42578125" customWidth="1"/>
    <col min="8" max="8" width="6.28515625" bestFit="1" customWidth="1"/>
    <col min="9" max="9" width="6.85546875" customWidth="1"/>
    <col min="10" max="12" width="7.28515625" bestFit="1" customWidth="1"/>
    <col min="13" max="13" width="6.85546875" customWidth="1"/>
    <col min="14" max="16" width="7.28515625" bestFit="1" customWidth="1"/>
    <col min="17" max="17" width="6.28515625" bestFit="1" customWidth="1"/>
    <col min="18" max="19" width="7.28515625" bestFit="1" customWidth="1"/>
    <col min="20" max="20" width="6.7109375" bestFit="1" customWidth="1"/>
    <col min="21" max="23" width="6.28515625" bestFit="1" customWidth="1"/>
    <col min="24" max="24" width="5.140625" bestFit="1" customWidth="1"/>
    <col min="25" max="26" width="6.28515625" bestFit="1" customWidth="1"/>
    <col min="27" max="27" width="5.7109375" customWidth="1"/>
    <col min="28" max="28" width="5.140625" bestFit="1" customWidth="1"/>
    <col min="29" max="31" width="5.85546875" customWidth="1"/>
    <col min="32" max="32" width="5.7109375" customWidth="1"/>
    <col min="33" max="33" width="5.85546875" customWidth="1"/>
    <col min="34" max="35" width="6.28515625" bestFit="1" customWidth="1"/>
    <col min="36" max="36" width="5.7109375" customWidth="1"/>
    <col min="37" max="40" width="6.28515625" bestFit="1" customWidth="1"/>
    <col min="41" max="41" width="5.140625" bestFit="1" customWidth="1"/>
    <col min="42" max="42" width="5.85546875" customWidth="1"/>
    <col min="43" max="44" width="6.28515625" bestFit="1" customWidth="1"/>
    <col min="45" max="45" width="6" customWidth="1"/>
    <col min="46" max="47" width="6.5703125" customWidth="1"/>
    <col min="48" max="48" width="8.85546875" bestFit="1" customWidth="1"/>
    <col min="49" max="49" width="11.28515625" bestFit="1" customWidth="1"/>
    <col min="50" max="50" width="13" bestFit="1" customWidth="1"/>
    <col min="51" max="51" width="8" customWidth="1"/>
    <col min="52" max="52" width="5.5703125" customWidth="1"/>
    <col min="53" max="53" width="5" customWidth="1"/>
    <col min="54" max="54" width="6" customWidth="1"/>
    <col min="55" max="55" width="4.7109375" customWidth="1"/>
  </cols>
  <sheetData>
    <row r="4" spans="2:49" ht="15.75" thickBot="1" x14ac:dyDescent="0.3">
      <c r="B4" s="43"/>
      <c r="C4" s="43"/>
      <c r="D4" s="67"/>
      <c r="E4" s="41">
        <v>1</v>
      </c>
      <c r="F4" s="41">
        <v>2</v>
      </c>
      <c r="G4" s="41">
        <v>3</v>
      </c>
      <c r="H4" s="41">
        <v>4</v>
      </c>
      <c r="I4" s="41">
        <v>5</v>
      </c>
      <c r="J4" s="41">
        <v>6</v>
      </c>
      <c r="K4" s="41">
        <v>7</v>
      </c>
      <c r="L4" s="41">
        <v>8</v>
      </c>
      <c r="M4" s="41">
        <v>9</v>
      </c>
      <c r="N4" s="41">
        <v>10</v>
      </c>
      <c r="O4" s="41">
        <v>11</v>
      </c>
      <c r="P4" s="41">
        <v>12</v>
      </c>
      <c r="Q4" s="41">
        <v>13</v>
      </c>
      <c r="R4" s="41">
        <v>14</v>
      </c>
      <c r="S4" s="41">
        <v>15</v>
      </c>
      <c r="T4" s="41">
        <v>16</v>
      </c>
      <c r="U4" s="41">
        <v>17</v>
      </c>
      <c r="V4" s="41">
        <v>18</v>
      </c>
      <c r="W4" s="41">
        <v>19</v>
      </c>
      <c r="X4" s="41">
        <v>20</v>
      </c>
      <c r="Y4" s="41">
        <v>21</v>
      </c>
      <c r="Z4" s="41">
        <v>22</v>
      </c>
      <c r="AA4" s="41">
        <v>23</v>
      </c>
      <c r="AB4" s="41">
        <v>24</v>
      </c>
      <c r="AC4" s="41">
        <v>25</v>
      </c>
      <c r="AD4" s="41">
        <v>26</v>
      </c>
      <c r="AE4" s="41">
        <v>27</v>
      </c>
      <c r="AF4" s="41">
        <v>28</v>
      </c>
      <c r="AG4" s="41">
        <v>29</v>
      </c>
      <c r="AH4" s="41">
        <v>30</v>
      </c>
      <c r="AI4" s="41">
        <v>31</v>
      </c>
      <c r="AJ4" s="41">
        <v>32</v>
      </c>
      <c r="AK4" s="41">
        <v>33</v>
      </c>
      <c r="AL4" s="41">
        <v>34</v>
      </c>
      <c r="AM4" s="41">
        <v>35</v>
      </c>
      <c r="AN4" s="41">
        <v>36</v>
      </c>
      <c r="AO4" s="41">
        <v>37</v>
      </c>
      <c r="AP4" s="41">
        <v>38</v>
      </c>
      <c r="AQ4" s="41">
        <v>39</v>
      </c>
      <c r="AR4" s="41">
        <v>40</v>
      </c>
      <c r="AS4" s="41">
        <v>41</v>
      </c>
      <c r="AT4" s="43"/>
    </row>
    <row r="5" spans="2:49" ht="15.75" thickBot="1" x14ac:dyDescent="0.3">
      <c r="B5" s="1" t="s">
        <v>3</v>
      </c>
      <c r="C5" s="5"/>
      <c r="D5" s="1"/>
      <c r="E5" s="78">
        <f>Spiele!D5</f>
        <v>45538</v>
      </c>
      <c r="F5" s="78">
        <f>Spiele!E5</f>
        <v>45545</v>
      </c>
      <c r="G5" s="78">
        <f>Spiele!F5</f>
        <v>45552</v>
      </c>
      <c r="H5" s="78">
        <f>Spiele!G5</f>
        <v>45559</v>
      </c>
      <c r="I5" s="78">
        <f>Spiele!H5</f>
        <v>45566</v>
      </c>
      <c r="J5" s="78">
        <f>Spiele!I5</f>
        <v>45573</v>
      </c>
      <c r="K5" s="78">
        <f>Spiele!J5</f>
        <v>45580</v>
      </c>
      <c r="L5" s="78">
        <f>Spiele!K5</f>
        <v>45587</v>
      </c>
      <c r="M5" s="78">
        <f>Spiele!L5</f>
        <v>45594</v>
      </c>
      <c r="N5" s="78">
        <f>Spiele!M5</f>
        <v>45601</v>
      </c>
      <c r="O5" s="78">
        <f>Spiele!N5</f>
        <v>45608</v>
      </c>
      <c r="P5" s="78">
        <f>Spiele!O5</f>
        <v>45615</v>
      </c>
      <c r="Q5" s="78">
        <f>Spiele!P5</f>
        <v>45622</v>
      </c>
      <c r="R5" s="78">
        <f>Spiele!Q5</f>
        <v>45629</v>
      </c>
      <c r="S5" s="78">
        <f>Spiele!R5</f>
        <v>45643</v>
      </c>
      <c r="T5" s="78">
        <f>Spiele!S5</f>
        <v>45664</v>
      </c>
      <c r="U5" s="78">
        <f>Spiele!T5</f>
        <v>45671</v>
      </c>
      <c r="V5" s="78">
        <f>Spiele!U5</f>
        <v>45678</v>
      </c>
      <c r="W5" s="78">
        <f>Spiele!V5</f>
        <v>45685</v>
      </c>
      <c r="X5" s="78">
        <f>Spiele!W5</f>
        <v>45692</v>
      </c>
      <c r="Y5" s="78">
        <f>Spiele!X5</f>
        <v>45699</v>
      </c>
      <c r="Z5" s="78">
        <f>Spiele!Y5</f>
        <v>45706</v>
      </c>
      <c r="AA5" s="78">
        <f>Spiele!Z5</f>
        <v>45713</v>
      </c>
      <c r="AB5" s="78">
        <f>Spiele!AA5</f>
        <v>45720</v>
      </c>
      <c r="AC5" s="78">
        <f>Spiele!AB5</f>
        <v>45727</v>
      </c>
      <c r="AD5" s="78">
        <f>Spiele!AC5</f>
        <v>45734</v>
      </c>
      <c r="AE5" s="78">
        <f>Spiele!AD5</f>
        <v>45741</v>
      </c>
      <c r="AF5" s="78">
        <f>Spiele!AE5</f>
        <v>45748</v>
      </c>
      <c r="AG5" s="78">
        <f>Spiele!AF5</f>
        <v>45755</v>
      </c>
      <c r="AH5" s="78">
        <f>Spiele!AG5</f>
        <v>45762</v>
      </c>
      <c r="AI5" s="78">
        <f>Spiele!AH5</f>
        <v>45769</v>
      </c>
      <c r="AJ5" s="78">
        <f>Spiele!AI5</f>
        <v>45776</v>
      </c>
      <c r="AK5" s="78">
        <f>Spiele!AJ5</f>
        <v>45783</v>
      </c>
      <c r="AL5" s="78">
        <f>Spiele!AK5</f>
        <v>45790</v>
      </c>
      <c r="AM5" s="78">
        <f>Spiele!AL5</f>
        <v>45797</v>
      </c>
      <c r="AN5" s="78">
        <f>Spiele!AM5</f>
        <v>45804</v>
      </c>
      <c r="AO5" s="78">
        <f>Spiele!AN5</f>
        <v>45811</v>
      </c>
      <c r="AP5" s="78">
        <f>Spiele!AO5</f>
        <v>45818</v>
      </c>
      <c r="AQ5" s="78">
        <f>Spiele!AP5</f>
        <v>45825</v>
      </c>
      <c r="AR5" s="78">
        <f>Spiele!AQ5</f>
        <v>45832</v>
      </c>
      <c r="AS5" s="78"/>
      <c r="AT5" s="79" t="s">
        <v>30</v>
      </c>
      <c r="AU5" s="108" t="s">
        <v>37</v>
      </c>
      <c r="AV5" s="80" t="s">
        <v>29</v>
      </c>
      <c r="AW5" s="137" t="s">
        <v>81</v>
      </c>
    </row>
    <row r="6" spans="2:49" x14ac:dyDescent="0.25">
      <c r="B6" s="109">
        <v>1</v>
      </c>
      <c r="C6" s="111"/>
      <c r="D6" s="114" t="s">
        <v>20</v>
      </c>
      <c r="E6" s="112"/>
      <c r="F6" s="107"/>
      <c r="G6" s="107"/>
      <c r="H6" s="107"/>
      <c r="I6" s="107"/>
      <c r="J6" s="107"/>
      <c r="K6" s="107"/>
      <c r="L6" s="107"/>
      <c r="M6" s="159"/>
      <c r="N6" s="107"/>
      <c r="O6" s="107"/>
      <c r="P6" s="107"/>
      <c r="Q6" s="107"/>
      <c r="R6" s="107"/>
      <c r="S6" s="159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59"/>
      <c r="AH6" s="107"/>
      <c r="AI6" s="107"/>
      <c r="AJ6" s="107"/>
      <c r="AK6" s="107"/>
      <c r="AL6" s="107"/>
      <c r="AM6" s="107"/>
      <c r="AN6" s="159"/>
      <c r="AO6" s="107"/>
      <c r="AP6" s="159"/>
      <c r="AQ6" s="159"/>
      <c r="AR6" s="107"/>
      <c r="AS6" s="24"/>
      <c r="AT6" s="25">
        <f t="shared" ref="AT6:AT25" si="0">SUM(E6:AR6)</f>
        <v>0</v>
      </c>
      <c r="AU6" s="72"/>
      <c r="AV6" s="26">
        <f>Spiele!AS6</f>
        <v>0</v>
      </c>
      <c r="AW6" s="141" t="e">
        <f t="shared" ref="AW6:AW22" si="1">AT6/AV6</f>
        <v>#DIV/0!</v>
      </c>
    </row>
    <row r="7" spans="2:49" x14ac:dyDescent="0.25">
      <c r="B7" s="4">
        <v>2</v>
      </c>
      <c r="C7" s="75"/>
      <c r="D7" s="115" t="s">
        <v>25</v>
      </c>
      <c r="E7" s="113"/>
      <c r="F7" s="66"/>
      <c r="G7" s="66"/>
      <c r="H7" s="66">
        <v>1</v>
      </c>
      <c r="I7" s="149"/>
      <c r="J7" s="66"/>
      <c r="K7" s="66"/>
      <c r="L7" s="66"/>
      <c r="M7" s="136">
        <v>1</v>
      </c>
      <c r="N7" s="66">
        <v>1</v>
      </c>
      <c r="O7" s="66"/>
      <c r="P7" s="66"/>
      <c r="Q7" s="66"/>
      <c r="R7" s="66"/>
      <c r="S7" s="136"/>
      <c r="T7" s="66"/>
      <c r="U7" s="66">
        <v>2</v>
      </c>
      <c r="V7" s="66">
        <v>1</v>
      </c>
      <c r="W7" s="66">
        <v>1</v>
      </c>
      <c r="X7" s="66"/>
      <c r="Y7" s="66"/>
      <c r="Z7" s="66">
        <v>1</v>
      </c>
      <c r="AA7" s="66"/>
      <c r="AB7" s="66"/>
      <c r="AC7" s="66"/>
      <c r="AD7" s="66">
        <v>2</v>
      </c>
      <c r="AE7" s="66"/>
      <c r="AF7" s="66"/>
      <c r="AG7" s="136"/>
      <c r="AH7" s="66">
        <v>3</v>
      </c>
      <c r="AI7" s="66">
        <v>1</v>
      </c>
      <c r="AJ7" s="66">
        <v>2</v>
      </c>
      <c r="AK7" s="66"/>
      <c r="AL7" s="66"/>
      <c r="AM7" s="66"/>
      <c r="AN7" s="136">
        <v>2</v>
      </c>
      <c r="AO7" s="66"/>
      <c r="AP7" s="136"/>
      <c r="AQ7" s="136">
        <v>2</v>
      </c>
      <c r="AR7" s="66"/>
      <c r="AS7" s="17"/>
      <c r="AT7" s="25">
        <f t="shared" si="0"/>
        <v>20</v>
      </c>
      <c r="AU7" s="73">
        <v>1</v>
      </c>
      <c r="AV7" s="26">
        <f>Spiele!AS7</f>
        <v>30</v>
      </c>
      <c r="AW7" s="141">
        <f t="shared" si="1"/>
        <v>0.66666666666666663</v>
      </c>
    </row>
    <row r="8" spans="2:49" x14ac:dyDescent="0.25">
      <c r="B8" s="4">
        <v>3</v>
      </c>
      <c r="C8" s="75"/>
      <c r="D8" s="115" t="s">
        <v>119</v>
      </c>
      <c r="E8" s="113">
        <v>1</v>
      </c>
      <c r="F8" s="66"/>
      <c r="G8" s="66">
        <v>4</v>
      </c>
      <c r="H8" s="66"/>
      <c r="I8" s="232"/>
      <c r="J8" s="66"/>
      <c r="K8" s="66"/>
      <c r="L8" s="66"/>
      <c r="M8" s="136"/>
      <c r="N8" s="66"/>
      <c r="O8" s="66">
        <v>1</v>
      </c>
      <c r="P8" s="66"/>
      <c r="Q8" s="66">
        <v>2</v>
      </c>
      <c r="R8" s="66">
        <v>2</v>
      </c>
      <c r="S8" s="136">
        <v>2</v>
      </c>
      <c r="T8" s="66">
        <v>2</v>
      </c>
      <c r="U8" s="66">
        <v>1</v>
      </c>
      <c r="V8" s="66">
        <v>2</v>
      </c>
      <c r="W8" s="66"/>
      <c r="X8" s="66">
        <v>3</v>
      </c>
      <c r="Y8" s="66">
        <v>4</v>
      </c>
      <c r="Z8" s="66"/>
      <c r="AA8" s="66"/>
      <c r="AB8" s="66"/>
      <c r="AC8" s="66"/>
      <c r="AD8" s="66">
        <v>1</v>
      </c>
      <c r="AE8" s="66">
        <v>1</v>
      </c>
      <c r="AF8" s="66">
        <v>1</v>
      </c>
      <c r="AG8" s="136">
        <v>2</v>
      </c>
      <c r="AH8" s="66"/>
      <c r="AI8" s="66"/>
      <c r="AJ8" s="66"/>
      <c r="AK8" s="66"/>
      <c r="AL8" s="66">
        <v>1</v>
      </c>
      <c r="AM8" s="66">
        <v>2</v>
      </c>
      <c r="AN8" s="136"/>
      <c r="AO8" s="66"/>
      <c r="AP8" s="136"/>
      <c r="AQ8" s="136">
        <v>1</v>
      </c>
      <c r="AR8" s="66"/>
      <c r="AS8" s="17"/>
      <c r="AT8" s="25">
        <f t="shared" si="0"/>
        <v>33</v>
      </c>
      <c r="AU8" s="73"/>
      <c r="AV8" s="26">
        <f>Spiele!AS24</f>
        <v>31</v>
      </c>
      <c r="AW8" s="141">
        <f t="shared" si="1"/>
        <v>1.064516129032258</v>
      </c>
    </row>
    <row r="9" spans="2:49" x14ac:dyDescent="0.25">
      <c r="B9" s="4">
        <v>4</v>
      </c>
      <c r="C9" s="75"/>
      <c r="D9" s="115" t="s">
        <v>14</v>
      </c>
      <c r="E9" s="113">
        <v>1</v>
      </c>
      <c r="F9" s="66"/>
      <c r="G9" s="66"/>
      <c r="H9" s="66"/>
      <c r="I9" s="149"/>
      <c r="J9" s="66"/>
      <c r="K9" s="66"/>
      <c r="L9" s="66"/>
      <c r="M9" s="136"/>
      <c r="N9" s="66"/>
      <c r="O9" s="66"/>
      <c r="P9" s="66"/>
      <c r="Q9" s="66"/>
      <c r="R9" s="66"/>
      <c r="S9" s="136">
        <v>1</v>
      </c>
      <c r="T9" s="66"/>
      <c r="U9" s="66">
        <v>2</v>
      </c>
      <c r="V9" s="66"/>
      <c r="W9" s="66"/>
      <c r="X9" s="66"/>
      <c r="Y9" s="66"/>
      <c r="Z9" s="66"/>
      <c r="AA9" s="66">
        <v>2</v>
      </c>
      <c r="AB9" s="66"/>
      <c r="AC9" s="66">
        <v>2</v>
      </c>
      <c r="AD9" s="66"/>
      <c r="AE9" s="66">
        <v>2</v>
      </c>
      <c r="AF9" s="66">
        <v>1</v>
      </c>
      <c r="AG9" s="136"/>
      <c r="AH9" s="66"/>
      <c r="AI9" s="66">
        <v>3</v>
      </c>
      <c r="AJ9" s="66"/>
      <c r="AK9" s="66"/>
      <c r="AL9" s="66"/>
      <c r="AM9" s="66"/>
      <c r="AN9" s="136"/>
      <c r="AO9" s="66"/>
      <c r="AP9" s="136"/>
      <c r="AQ9" s="136">
        <v>1</v>
      </c>
      <c r="AR9" s="66">
        <v>1</v>
      </c>
      <c r="AS9" s="17"/>
      <c r="AT9" s="25">
        <f t="shared" si="0"/>
        <v>16</v>
      </c>
      <c r="AU9" s="73"/>
      <c r="AV9" s="26">
        <f>Spiele!AS9</f>
        <v>21</v>
      </c>
      <c r="AW9" s="141">
        <f t="shared" si="1"/>
        <v>0.76190476190476186</v>
      </c>
    </row>
    <row r="10" spans="2:49" x14ac:dyDescent="0.25">
      <c r="B10" s="4">
        <v>5</v>
      </c>
      <c r="C10" s="75"/>
      <c r="D10" s="115" t="s">
        <v>22</v>
      </c>
      <c r="E10" s="113"/>
      <c r="F10" s="66"/>
      <c r="G10" s="66"/>
      <c r="H10" s="66"/>
      <c r="I10" s="149">
        <v>1</v>
      </c>
      <c r="J10" s="66"/>
      <c r="K10" s="66"/>
      <c r="L10" s="66">
        <v>1</v>
      </c>
      <c r="M10" s="136"/>
      <c r="N10" s="66"/>
      <c r="O10" s="66">
        <v>1</v>
      </c>
      <c r="P10" s="66"/>
      <c r="Q10" s="66"/>
      <c r="R10" s="66"/>
      <c r="S10" s="136"/>
      <c r="T10" s="66">
        <v>2</v>
      </c>
      <c r="U10" s="66"/>
      <c r="V10" s="66"/>
      <c r="W10" s="66">
        <v>2</v>
      </c>
      <c r="X10" s="66">
        <v>2</v>
      </c>
      <c r="Y10" s="66">
        <v>1</v>
      </c>
      <c r="Z10" s="66">
        <v>1</v>
      </c>
      <c r="AA10" s="66">
        <v>1</v>
      </c>
      <c r="AB10" s="66">
        <v>2</v>
      </c>
      <c r="AC10" s="66">
        <v>1</v>
      </c>
      <c r="AD10" s="66">
        <v>1</v>
      </c>
      <c r="AE10" s="66"/>
      <c r="AF10" s="66">
        <v>2</v>
      </c>
      <c r="AG10" s="136"/>
      <c r="AH10" s="66"/>
      <c r="AI10" s="66">
        <v>1</v>
      </c>
      <c r="AJ10" s="66"/>
      <c r="AK10" s="66"/>
      <c r="AL10" s="66"/>
      <c r="AM10" s="66"/>
      <c r="AN10" s="136"/>
      <c r="AO10" s="66">
        <v>2</v>
      </c>
      <c r="AP10" s="136"/>
      <c r="AQ10" s="136"/>
      <c r="AR10" s="66">
        <v>1</v>
      </c>
      <c r="AS10" s="17"/>
      <c r="AT10" s="25">
        <f t="shared" si="0"/>
        <v>22</v>
      </c>
      <c r="AU10" s="73"/>
      <c r="AV10" s="26">
        <f>Spiele!AS10</f>
        <v>36</v>
      </c>
      <c r="AW10" s="141">
        <f t="shared" si="1"/>
        <v>0.61111111111111116</v>
      </c>
    </row>
    <row r="11" spans="2:49" x14ac:dyDescent="0.25">
      <c r="B11" s="4">
        <v>6</v>
      </c>
      <c r="C11" s="75"/>
      <c r="D11" s="115" t="s">
        <v>17</v>
      </c>
      <c r="E11" s="113"/>
      <c r="F11" s="66"/>
      <c r="G11" s="66"/>
      <c r="H11" s="66"/>
      <c r="I11" s="149"/>
      <c r="J11" s="66"/>
      <c r="K11" s="66">
        <v>1</v>
      </c>
      <c r="L11" s="66"/>
      <c r="M11" s="136">
        <v>1</v>
      </c>
      <c r="N11" s="66"/>
      <c r="O11" s="66"/>
      <c r="P11" s="66"/>
      <c r="Q11" s="66"/>
      <c r="R11" s="66"/>
      <c r="S11" s="136"/>
      <c r="T11" s="66"/>
      <c r="U11" s="66"/>
      <c r="V11" s="66"/>
      <c r="W11" s="66"/>
      <c r="X11" s="66"/>
      <c r="Y11" s="66"/>
      <c r="Z11" s="66"/>
      <c r="AA11" s="66"/>
      <c r="AB11" s="66">
        <v>1</v>
      </c>
      <c r="AC11" s="66"/>
      <c r="AD11" s="66"/>
      <c r="AE11" s="66"/>
      <c r="AF11" s="66">
        <v>1</v>
      </c>
      <c r="AG11" s="136"/>
      <c r="AH11" s="66"/>
      <c r="AI11" s="66"/>
      <c r="AJ11" s="66"/>
      <c r="AK11" s="66"/>
      <c r="AL11" s="66"/>
      <c r="AM11" s="66"/>
      <c r="AN11" s="136"/>
      <c r="AO11" s="66"/>
      <c r="AP11" s="136"/>
      <c r="AQ11" s="136"/>
      <c r="AR11" s="66"/>
      <c r="AS11" s="16"/>
      <c r="AT11" s="25">
        <f t="shared" si="0"/>
        <v>4</v>
      </c>
      <c r="AU11" s="73">
        <v>1</v>
      </c>
      <c r="AV11" s="26">
        <f>Spiele!AS11</f>
        <v>31</v>
      </c>
      <c r="AW11" s="141">
        <f t="shared" si="1"/>
        <v>0.12903225806451613</v>
      </c>
    </row>
    <row r="12" spans="2:49" x14ac:dyDescent="0.25">
      <c r="B12" s="4">
        <v>7</v>
      </c>
      <c r="C12" s="75"/>
      <c r="D12" s="115" t="s">
        <v>21</v>
      </c>
      <c r="E12" s="113">
        <v>1</v>
      </c>
      <c r="F12" s="66"/>
      <c r="G12" s="66"/>
      <c r="H12" s="66"/>
      <c r="I12" s="149">
        <v>2</v>
      </c>
      <c r="J12" s="66">
        <v>1</v>
      </c>
      <c r="K12" s="66">
        <v>1</v>
      </c>
      <c r="L12" s="66">
        <v>1</v>
      </c>
      <c r="M12" s="136">
        <v>1</v>
      </c>
      <c r="N12" s="66"/>
      <c r="O12" s="66">
        <v>1</v>
      </c>
      <c r="P12" s="66">
        <v>1</v>
      </c>
      <c r="Q12" s="66"/>
      <c r="R12" s="66">
        <v>1</v>
      </c>
      <c r="S12" s="136"/>
      <c r="T12" s="66"/>
      <c r="U12" s="66">
        <v>2</v>
      </c>
      <c r="V12" s="66"/>
      <c r="W12" s="66"/>
      <c r="X12" s="66"/>
      <c r="Y12" s="66">
        <v>1</v>
      </c>
      <c r="Z12" s="66"/>
      <c r="AA12" s="66">
        <v>4</v>
      </c>
      <c r="AB12" s="66">
        <v>3</v>
      </c>
      <c r="AC12" s="66">
        <v>1</v>
      </c>
      <c r="AD12" s="66">
        <v>1</v>
      </c>
      <c r="AE12" s="66"/>
      <c r="AF12" s="66">
        <v>2</v>
      </c>
      <c r="AG12" s="136"/>
      <c r="AH12" s="66"/>
      <c r="AI12" s="66"/>
      <c r="AJ12" s="66"/>
      <c r="AK12" s="66">
        <v>1</v>
      </c>
      <c r="AL12" s="66"/>
      <c r="AM12" s="66">
        <v>2</v>
      </c>
      <c r="AN12" s="136">
        <v>1</v>
      </c>
      <c r="AO12" s="66"/>
      <c r="AP12" s="136">
        <v>1</v>
      </c>
      <c r="AQ12" s="136">
        <v>1</v>
      </c>
      <c r="AR12" s="66"/>
      <c r="AS12" s="17"/>
      <c r="AT12" s="25">
        <f t="shared" si="0"/>
        <v>30</v>
      </c>
      <c r="AU12" s="73"/>
      <c r="AV12" s="26">
        <f>Spiele!AS12</f>
        <v>33</v>
      </c>
      <c r="AW12" s="141">
        <f t="shared" si="1"/>
        <v>0.90909090909090906</v>
      </c>
    </row>
    <row r="13" spans="2:49" x14ac:dyDescent="0.25">
      <c r="B13" s="4">
        <v>8</v>
      </c>
      <c r="C13" s="75"/>
      <c r="D13" s="115" t="s">
        <v>26</v>
      </c>
      <c r="E13" s="113"/>
      <c r="F13" s="66"/>
      <c r="G13" s="66"/>
      <c r="H13" s="66"/>
      <c r="I13" s="149"/>
      <c r="J13" s="66"/>
      <c r="K13" s="66"/>
      <c r="L13" s="66"/>
      <c r="M13" s="136"/>
      <c r="N13" s="66"/>
      <c r="O13" s="66"/>
      <c r="P13" s="66"/>
      <c r="Q13" s="66"/>
      <c r="R13" s="66"/>
      <c r="S13" s="13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136"/>
      <c r="AH13" s="66"/>
      <c r="AI13" s="66"/>
      <c r="AJ13" s="66"/>
      <c r="AK13" s="66"/>
      <c r="AL13" s="66"/>
      <c r="AM13" s="66"/>
      <c r="AN13" s="136"/>
      <c r="AO13" s="66"/>
      <c r="AP13" s="136"/>
      <c r="AQ13" s="136"/>
      <c r="AR13" s="66"/>
      <c r="AS13" s="17"/>
      <c r="AT13" s="25">
        <f t="shared" si="0"/>
        <v>0</v>
      </c>
      <c r="AU13" s="73"/>
      <c r="AV13" s="26">
        <f>Spiele!AS13</f>
        <v>0</v>
      </c>
      <c r="AW13" s="141" t="e">
        <f t="shared" si="1"/>
        <v>#DIV/0!</v>
      </c>
    </row>
    <row r="14" spans="2:49" x14ac:dyDescent="0.25">
      <c r="B14" s="4">
        <v>9</v>
      </c>
      <c r="C14" s="75"/>
      <c r="D14" s="115" t="s">
        <v>18</v>
      </c>
      <c r="E14" s="113"/>
      <c r="F14" s="66"/>
      <c r="G14" s="66"/>
      <c r="H14" s="66"/>
      <c r="I14" s="149"/>
      <c r="J14" s="66"/>
      <c r="K14" s="66"/>
      <c r="L14" s="66"/>
      <c r="M14" s="136"/>
      <c r="N14" s="66"/>
      <c r="O14" s="66"/>
      <c r="P14" s="66"/>
      <c r="Q14" s="66"/>
      <c r="R14" s="66"/>
      <c r="S14" s="13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136"/>
      <c r="AH14" s="66"/>
      <c r="AI14" s="66"/>
      <c r="AJ14" s="66"/>
      <c r="AK14" s="66"/>
      <c r="AL14" s="66"/>
      <c r="AM14" s="66"/>
      <c r="AN14" s="136"/>
      <c r="AO14" s="66"/>
      <c r="AP14" s="136"/>
      <c r="AQ14" s="136"/>
      <c r="AR14" s="66"/>
      <c r="AS14" s="17"/>
      <c r="AT14" s="25">
        <f t="shared" si="0"/>
        <v>0</v>
      </c>
      <c r="AU14" s="73"/>
      <c r="AV14" s="26">
        <f>Spiele!AS14</f>
        <v>0</v>
      </c>
      <c r="AW14" s="141" t="e">
        <f t="shared" si="1"/>
        <v>#DIV/0!</v>
      </c>
    </row>
    <row r="15" spans="2:49" x14ac:dyDescent="0.25">
      <c r="B15" s="4">
        <v>10</v>
      </c>
      <c r="C15" s="75"/>
      <c r="D15" s="115" t="s">
        <v>16</v>
      </c>
      <c r="E15" s="113"/>
      <c r="F15" s="66"/>
      <c r="G15" s="66"/>
      <c r="H15" s="66"/>
      <c r="I15" s="149"/>
      <c r="J15" s="66"/>
      <c r="K15" s="66"/>
      <c r="L15" s="66"/>
      <c r="M15" s="136"/>
      <c r="N15" s="66"/>
      <c r="O15" s="66"/>
      <c r="P15" s="66"/>
      <c r="Q15" s="66"/>
      <c r="R15" s="66"/>
      <c r="S15" s="136"/>
      <c r="T15" s="66"/>
      <c r="U15" s="66"/>
      <c r="V15" s="66"/>
      <c r="W15" s="66"/>
      <c r="X15" s="66"/>
      <c r="Y15" s="66">
        <v>1</v>
      </c>
      <c r="Z15" s="66"/>
      <c r="AA15" s="66"/>
      <c r="AB15" s="66"/>
      <c r="AC15" s="66"/>
      <c r="AD15" s="66"/>
      <c r="AE15" s="66"/>
      <c r="AF15" s="66"/>
      <c r="AG15" s="136"/>
      <c r="AH15" s="66"/>
      <c r="AI15" s="66"/>
      <c r="AJ15" s="66"/>
      <c r="AK15" s="66"/>
      <c r="AL15" s="66"/>
      <c r="AM15" s="66"/>
      <c r="AN15" s="136"/>
      <c r="AO15" s="66"/>
      <c r="AP15" s="136"/>
      <c r="AQ15" s="136"/>
      <c r="AR15" s="66"/>
      <c r="AS15" s="17"/>
      <c r="AT15" s="25">
        <f t="shared" si="0"/>
        <v>1</v>
      </c>
      <c r="AU15" s="73"/>
      <c r="AV15" s="26">
        <f>Spiele!AS15</f>
        <v>21</v>
      </c>
      <c r="AW15" s="141">
        <f t="shared" si="1"/>
        <v>4.7619047619047616E-2</v>
      </c>
    </row>
    <row r="16" spans="2:49" x14ac:dyDescent="0.25">
      <c r="B16" s="4">
        <v>11</v>
      </c>
      <c r="C16" s="75"/>
      <c r="D16" s="115" t="s">
        <v>13</v>
      </c>
      <c r="E16" s="113"/>
      <c r="F16" s="66"/>
      <c r="G16" s="66"/>
      <c r="H16" s="66">
        <v>1</v>
      </c>
      <c r="I16" s="149">
        <v>2</v>
      </c>
      <c r="J16" s="66">
        <v>2</v>
      </c>
      <c r="K16" s="66"/>
      <c r="L16" s="66">
        <v>1</v>
      </c>
      <c r="M16" s="136"/>
      <c r="N16" s="66"/>
      <c r="O16" s="66"/>
      <c r="P16" s="66"/>
      <c r="Q16" s="66"/>
      <c r="R16" s="66"/>
      <c r="S16" s="136"/>
      <c r="T16" s="66">
        <v>1</v>
      </c>
      <c r="U16" s="66"/>
      <c r="V16" s="66"/>
      <c r="W16" s="66"/>
      <c r="X16" s="66">
        <v>4</v>
      </c>
      <c r="Y16" s="66">
        <v>1</v>
      </c>
      <c r="Z16" s="66"/>
      <c r="AA16" s="66"/>
      <c r="AB16" s="66">
        <v>2</v>
      </c>
      <c r="AC16" s="66"/>
      <c r="AD16" s="66"/>
      <c r="AE16" s="66">
        <v>3</v>
      </c>
      <c r="AF16" s="66"/>
      <c r="AG16" s="136"/>
      <c r="AH16" s="66"/>
      <c r="AI16" s="66"/>
      <c r="AJ16" s="66"/>
      <c r="AK16" s="66">
        <v>1</v>
      </c>
      <c r="AL16" s="66"/>
      <c r="AM16" s="66">
        <v>2</v>
      </c>
      <c r="AN16" s="136"/>
      <c r="AO16" s="66"/>
      <c r="AP16" s="136"/>
      <c r="AQ16" s="136"/>
      <c r="AR16" s="66">
        <v>2</v>
      </c>
      <c r="AS16" s="17"/>
      <c r="AT16" s="25">
        <f t="shared" si="0"/>
        <v>22</v>
      </c>
      <c r="AU16" s="73">
        <v>1</v>
      </c>
      <c r="AV16" s="26">
        <f>Spiele!AS16</f>
        <v>37</v>
      </c>
      <c r="AW16" s="141">
        <f t="shared" si="1"/>
        <v>0.59459459459459463</v>
      </c>
    </row>
    <row r="17" spans="2:49" x14ac:dyDescent="0.25">
      <c r="B17" s="4">
        <v>12</v>
      </c>
      <c r="C17" s="75"/>
      <c r="D17" s="115" t="s">
        <v>15</v>
      </c>
      <c r="E17" s="113"/>
      <c r="F17" s="66"/>
      <c r="G17" s="66">
        <v>1</v>
      </c>
      <c r="H17" s="66">
        <v>1</v>
      </c>
      <c r="I17" s="149"/>
      <c r="J17" s="66"/>
      <c r="K17" s="66"/>
      <c r="L17" s="66"/>
      <c r="M17" s="136">
        <v>1</v>
      </c>
      <c r="N17" s="66"/>
      <c r="O17" s="66"/>
      <c r="P17" s="66"/>
      <c r="Q17" s="66"/>
      <c r="R17" s="66"/>
      <c r="S17" s="136">
        <v>1</v>
      </c>
      <c r="T17" s="66">
        <v>1</v>
      </c>
      <c r="U17" s="66"/>
      <c r="V17" s="66"/>
      <c r="W17" s="66">
        <v>1</v>
      </c>
      <c r="X17" s="66"/>
      <c r="Y17" s="66"/>
      <c r="Z17" s="66">
        <v>2</v>
      </c>
      <c r="AA17" s="66"/>
      <c r="AB17" s="66">
        <v>1</v>
      </c>
      <c r="AC17" s="66"/>
      <c r="AD17" s="66">
        <v>1</v>
      </c>
      <c r="AE17" s="66"/>
      <c r="AF17" s="66"/>
      <c r="AG17" s="136"/>
      <c r="AH17" s="66">
        <v>2</v>
      </c>
      <c r="AI17" s="66"/>
      <c r="AJ17" s="66"/>
      <c r="AK17" s="66">
        <v>1</v>
      </c>
      <c r="AL17" s="66"/>
      <c r="AM17" s="66"/>
      <c r="AN17" s="136"/>
      <c r="AO17" s="66"/>
      <c r="AP17" s="136"/>
      <c r="AQ17" s="136"/>
      <c r="AR17" s="66"/>
      <c r="AS17" s="17"/>
      <c r="AT17" s="25">
        <f t="shared" si="0"/>
        <v>13</v>
      </c>
      <c r="AU17" s="73">
        <v>1</v>
      </c>
      <c r="AV17" s="26">
        <f>Spiele!AS17</f>
        <v>29</v>
      </c>
      <c r="AW17" s="141">
        <f t="shared" si="1"/>
        <v>0.44827586206896552</v>
      </c>
    </row>
    <row r="18" spans="2:49" x14ac:dyDescent="0.25">
      <c r="B18" s="4">
        <v>13</v>
      </c>
      <c r="C18" s="75"/>
      <c r="D18" s="115" t="s">
        <v>56</v>
      </c>
      <c r="E18" s="113">
        <v>1</v>
      </c>
      <c r="F18" s="241"/>
      <c r="G18" s="241">
        <v>2</v>
      </c>
      <c r="H18" s="241">
        <v>1</v>
      </c>
      <c r="I18" s="149"/>
      <c r="J18" s="241"/>
      <c r="K18" s="241">
        <v>1</v>
      </c>
      <c r="L18" s="241">
        <v>1</v>
      </c>
      <c r="M18" s="136"/>
      <c r="N18" s="241"/>
      <c r="O18" s="241"/>
      <c r="P18" s="241"/>
      <c r="Q18" s="241"/>
      <c r="R18" s="241"/>
      <c r="S18" s="136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136"/>
      <c r="AH18" s="241"/>
      <c r="AI18" s="241"/>
      <c r="AJ18" s="241"/>
      <c r="AK18" s="241">
        <v>2</v>
      </c>
      <c r="AL18" s="241"/>
      <c r="AM18" s="241">
        <v>1</v>
      </c>
      <c r="AN18" s="136">
        <v>2</v>
      </c>
      <c r="AO18" s="241">
        <v>1</v>
      </c>
      <c r="AP18" s="136">
        <v>2</v>
      </c>
      <c r="AQ18" s="136"/>
      <c r="AR18" s="241">
        <v>1</v>
      </c>
      <c r="AS18" s="17"/>
      <c r="AT18" s="25">
        <f t="shared" si="0"/>
        <v>15</v>
      </c>
      <c r="AU18" s="73"/>
      <c r="AV18" s="26">
        <f>Spiele!AS18</f>
        <v>0</v>
      </c>
      <c r="AW18" s="141" t="e">
        <f t="shared" si="1"/>
        <v>#DIV/0!</v>
      </c>
    </row>
    <row r="19" spans="2:49" x14ac:dyDescent="0.25">
      <c r="B19" s="4">
        <v>14</v>
      </c>
      <c r="C19" s="75"/>
      <c r="D19" s="115" t="s">
        <v>120</v>
      </c>
      <c r="E19" s="113"/>
      <c r="F19" s="66"/>
      <c r="G19" s="66"/>
      <c r="H19" s="66"/>
      <c r="I19" s="149"/>
      <c r="J19" s="66"/>
      <c r="K19" s="66"/>
      <c r="L19" s="66"/>
      <c r="M19" s="136"/>
      <c r="N19" s="66"/>
      <c r="O19" s="66"/>
      <c r="P19" s="66"/>
      <c r="Q19" s="66"/>
      <c r="R19" s="66"/>
      <c r="S19" s="13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136"/>
      <c r="AH19" s="66"/>
      <c r="AI19" s="66"/>
      <c r="AJ19" s="66"/>
      <c r="AK19" s="66"/>
      <c r="AL19" s="66"/>
      <c r="AM19" s="66"/>
      <c r="AN19" s="136"/>
      <c r="AO19" s="66"/>
      <c r="AP19" s="136"/>
      <c r="AQ19" s="136"/>
      <c r="AR19" s="66"/>
      <c r="AS19" s="24"/>
      <c r="AT19" s="25">
        <f t="shared" si="0"/>
        <v>0</v>
      </c>
      <c r="AU19" s="73"/>
      <c r="AV19" s="26">
        <f>Spiele!AS19</f>
        <v>22</v>
      </c>
      <c r="AW19" s="141">
        <f t="shared" si="1"/>
        <v>0</v>
      </c>
    </row>
    <row r="20" spans="2:49" x14ac:dyDescent="0.25">
      <c r="B20" s="4">
        <v>15</v>
      </c>
      <c r="C20" s="75"/>
      <c r="D20" s="115" t="s">
        <v>27</v>
      </c>
      <c r="E20" s="113"/>
      <c r="F20" s="66">
        <v>1</v>
      </c>
      <c r="G20" s="66"/>
      <c r="H20" s="66"/>
      <c r="I20" s="149"/>
      <c r="J20" s="66">
        <v>1</v>
      </c>
      <c r="K20" s="66">
        <v>2</v>
      </c>
      <c r="L20" s="66">
        <v>1</v>
      </c>
      <c r="M20" s="136"/>
      <c r="N20" s="66"/>
      <c r="O20" s="66">
        <v>1</v>
      </c>
      <c r="P20" s="66"/>
      <c r="Q20" s="66">
        <v>1</v>
      </c>
      <c r="R20" s="66"/>
      <c r="S20" s="136"/>
      <c r="T20" s="66">
        <v>1</v>
      </c>
      <c r="U20" s="66"/>
      <c r="V20" s="66"/>
      <c r="W20" s="66"/>
      <c r="X20" s="66"/>
      <c r="Y20" s="66">
        <v>1</v>
      </c>
      <c r="Z20" s="66"/>
      <c r="AA20" s="66"/>
      <c r="AB20" s="66"/>
      <c r="AC20" s="66"/>
      <c r="AD20" s="66">
        <v>1</v>
      </c>
      <c r="AE20" s="66"/>
      <c r="AF20" s="66"/>
      <c r="AG20" s="136"/>
      <c r="AH20" s="66"/>
      <c r="AI20" s="66"/>
      <c r="AJ20" s="66"/>
      <c r="AK20" s="66"/>
      <c r="AL20" s="66"/>
      <c r="AM20" s="66"/>
      <c r="AN20" s="136"/>
      <c r="AO20" s="66"/>
      <c r="AP20" s="136"/>
      <c r="AQ20" s="136">
        <v>2</v>
      </c>
      <c r="AR20" s="66"/>
      <c r="AS20" s="24"/>
      <c r="AT20" s="25">
        <f t="shared" si="0"/>
        <v>12</v>
      </c>
      <c r="AU20" s="73"/>
      <c r="AV20" s="26">
        <f>Spiele!AS20</f>
        <v>0</v>
      </c>
      <c r="AW20" s="141" t="e">
        <f t="shared" si="1"/>
        <v>#DIV/0!</v>
      </c>
    </row>
    <row r="21" spans="2:49" x14ac:dyDescent="0.25">
      <c r="B21" s="4">
        <v>16</v>
      </c>
      <c r="C21" s="75"/>
      <c r="D21" s="115" t="s">
        <v>24</v>
      </c>
      <c r="E21" s="113"/>
      <c r="F21" s="66"/>
      <c r="G21" s="66"/>
      <c r="H21" s="66"/>
      <c r="I21" s="16"/>
      <c r="J21" s="66"/>
      <c r="K21" s="66"/>
      <c r="L21" s="66"/>
      <c r="M21" s="136"/>
      <c r="N21" s="66"/>
      <c r="O21" s="66"/>
      <c r="P21" s="66"/>
      <c r="Q21" s="66"/>
      <c r="R21" s="66"/>
      <c r="S21" s="13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136"/>
      <c r="AH21" s="66"/>
      <c r="AI21" s="66"/>
      <c r="AJ21" s="66"/>
      <c r="AK21" s="66"/>
      <c r="AL21" s="66"/>
      <c r="AM21" s="66"/>
      <c r="AN21" s="136"/>
      <c r="AO21" s="66"/>
      <c r="AP21" s="136"/>
      <c r="AQ21" s="136"/>
      <c r="AR21" s="66"/>
      <c r="AS21" s="16"/>
      <c r="AT21" s="25">
        <f t="shared" si="0"/>
        <v>0</v>
      </c>
      <c r="AU21" s="73"/>
      <c r="AV21" s="26">
        <f>Spiele!AS21</f>
        <v>34</v>
      </c>
      <c r="AW21" s="141">
        <f t="shared" si="1"/>
        <v>0</v>
      </c>
    </row>
    <row r="22" spans="2:49" x14ac:dyDescent="0.25">
      <c r="B22" s="4">
        <v>17</v>
      </c>
      <c r="C22" s="75"/>
      <c r="D22" s="115" t="s">
        <v>28</v>
      </c>
      <c r="E22" s="113"/>
      <c r="F22" s="66"/>
      <c r="G22" s="66"/>
      <c r="H22" s="66"/>
      <c r="I22" s="16"/>
      <c r="J22" s="66"/>
      <c r="K22" s="66"/>
      <c r="L22" s="66"/>
      <c r="M22" s="136"/>
      <c r="N22" s="66"/>
      <c r="O22" s="66"/>
      <c r="P22" s="66"/>
      <c r="Q22" s="66"/>
      <c r="R22" s="66"/>
      <c r="S22" s="13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136"/>
      <c r="AH22" s="66"/>
      <c r="AI22" s="66"/>
      <c r="AJ22" s="66"/>
      <c r="AK22" s="66"/>
      <c r="AL22" s="66"/>
      <c r="AM22" s="66"/>
      <c r="AN22" s="136"/>
      <c r="AO22" s="66"/>
      <c r="AP22" s="136"/>
      <c r="AQ22" s="136"/>
      <c r="AR22" s="66"/>
      <c r="AS22" s="17"/>
      <c r="AT22" s="25">
        <f t="shared" si="0"/>
        <v>0</v>
      </c>
      <c r="AU22" s="73"/>
      <c r="AV22" s="26">
        <f>Spiele!AS22</f>
        <v>13</v>
      </c>
      <c r="AW22" s="141">
        <f t="shared" si="1"/>
        <v>0</v>
      </c>
    </row>
    <row r="23" spans="2:49" x14ac:dyDescent="0.25">
      <c r="B23" s="4">
        <v>18</v>
      </c>
      <c r="C23" s="75"/>
      <c r="D23" s="115" t="s">
        <v>19</v>
      </c>
      <c r="E23" s="113"/>
      <c r="F23" s="66"/>
      <c r="G23" s="66"/>
      <c r="H23" s="66"/>
      <c r="I23" s="16"/>
      <c r="J23" s="66"/>
      <c r="K23" s="66"/>
      <c r="L23" s="66"/>
      <c r="M23" s="136"/>
      <c r="N23" s="169"/>
      <c r="O23" s="169"/>
      <c r="P23" s="169"/>
      <c r="Q23" s="169"/>
      <c r="R23" s="169"/>
      <c r="S23" s="170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70"/>
      <c r="AH23" s="169"/>
      <c r="AI23" s="169"/>
      <c r="AJ23" s="169"/>
      <c r="AK23" s="169"/>
      <c r="AL23" s="169"/>
      <c r="AM23" s="169"/>
      <c r="AN23" s="170"/>
      <c r="AO23" s="169"/>
      <c r="AP23" s="170"/>
      <c r="AQ23" s="170"/>
      <c r="AR23" s="169"/>
      <c r="AS23" s="27"/>
      <c r="AT23" s="25">
        <f t="shared" si="0"/>
        <v>0</v>
      </c>
      <c r="AU23" s="73"/>
      <c r="AV23" s="26">
        <f>Spiele!AS23</f>
        <v>16</v>
      </c>
      <c r="AW23" s="142"/>
    </row>
    <row r="24" spans="2:49" x14ac:dyDescent="0.25">
      <c r="B24" s="246">
        <v>19</v>
      </c>
      <c r="C24" s="247"/>
      <c r="D24" s="248" t="s">
        <v>122</v>
      </c>
      <c r="E24" s="113"/>
      <c r="F24" s="243"/>
      <c r="G24" s="243">
        <v>2</v>
      </c>
      <c r="H24" s="243">
        <v>1</v>
      </c>
      <c r="I24" s="149">
        <v>2</v>
      </c>
      <c r="J24" s="243">
        <v>1</v>
      </c>
      <c r="K24" s="243"/>
      <c r="L24" s="243"/>
      <c r="M24" s="136">
        <v>2</v>
      </c>
      <c r="N24" s="243"/>
      <c r="O24" s="243"/>
      <c r="P24" s="243">
        <v>1</v>
      </c>
      <c r="Q24" s="243">
        <v>2</v>
      </c>
      <c r="R24" s="243"/>
      <c r="S24" s="136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>
        <v>1</v>
      </c>
      <c r="AF24" s="243">
        <v>1</v>
      </c>
      <c r="AG24" s="136"/>
      <c r="AH24" s="243"/>
      <c r="AI24" s="243"/>
      <c r="AJ24" s="243">
        <v>1</v>
      </c>
      <c r="AK24" s="243"/>
      <c r="AL24" s="243">
        <v>1</v>
      </c>
      <c r="AM24" s="243">
        <v>1</v>
      </c>
      <c r="AN24" s="136"/>
      <c r="AO24" s="243"/>
      <c r="AP24" s="136"/>
      <c r="AQ24" s="136">
        <v>2</v>
      </c>
      <c r="AR24" s="243"/>
      <c r="AS24" s="24"/>
      <c r="AT24" s="25">
        <f t="shared" si="0"/>
        <v>18</v>
      </c>
      <c r="AU24" s="106">
        <v>1</v>
      </c>
      <c r="AV24" s="26">
        <f>Spiele!AS25</f>
        <v>25</v>
      </c>
      <c r="AW24" s="249"/>
    </row>
    <row r="25" spans="2:49" ht="15.75" thickBot="1" x14ac:dyDescent="0.3">
      <c r="B25" s="32">
        <v>20</v>
      </c>
      <c r="C25" s="76"/>
      <c r="D25" s="110" t="s">
        <v>123</v>
      </c>
      <c r="E25" s="244"/>
      <c r="F25" s="245"/>
      <c r="G25" s="245">
        <v>1</v>
      </c>
      <c r="H25" s="245"/>
      <c r="I25" s="250"/>
      <c r="J25" s="245">
        <v>1</v>
      </c>
      <c r="K25" s="245"/>
      <c r="L25" s="245"/>
      <c r="M25" s="251"/>
      <c r="N25" s="245"/>
      <c r="O25" s="245"/>
      <c r="P25" s="245">
        <v>1</v>
      </c>
      <c r="Q25" s="245"/>
      <c r="R25" s="245"/>
      <c r="S25" s="251"/>
      <c r="T25" s="245"/>
      <c r="U25" s="245">
        <v>1</v>
      </c>
      <c r="V25" s="245"/>
      <c r="W25" s="245"/>
      <c r="X25" s="245">
        <v>3</v>
      </c>
      <c r="Y25" s="245">
        <v>1</v>
      </c>
      <c r="Z25" s="245"/>
      <c r="AA25" s="245">
        <v>3</v>
      </c>
      <c r="AB25" s="245">
        <v>1</v>
      </c>
      <c r="AC25" s="245"/>
      <c r="AD25" s="245"/>
      <c r="AE25" s="245"/>
      <c r="AF25" s="245"/>
      <c r="AG25" s="251">
        <v>2</v>
      </c>
      <c r="AH25" s="245">
        <v>1</v>
      </c>
      <c r="AI25" s="245"/>
      <c r="AJ25" s="245"/>
      <c r="AK25" s="245">
        <v>3</v>
      </c>
      <c r="AL25" s="245"/>
      <c r="AM25" s="245"/>
      <c r="AN25" s="251"/>
      <c r="AO25" s="245"/>
      <c r="AP25" s="251"/>
      <c r="AQ25" s="251"/>
      <c r="AR25" s="245"/>
      <c r="AS25" s="28"/>
      <c r="AT25" s="29">
        <f t="shared" si="0"/>
        <v>18</v>
      </c>
      <c r="AU25" s="74"/>
      <c r="AV25" s="26">
        <f>Spiele!AS26</f>
        <v>23</v>
      </c>
      <c r="AW25" s="143"/>
    </row>
    <row r="26" spans="2:49" ht="15.75" thickBot="1" x14ac:dyDescent="0.3">
      <c r="AT26" s="43"/>
    </row>
    <row r="27" spans="2:49" ht="19.5" thickBot="1" x14ac:dyDescent="0.35">
      <c r="B27" s="339"/>
      <c r="C27" s="339"/>
      <c r="D27" s="339"/>
      <c r="E27" s="175"/>
      <c r="F27" s="175"/>
      <c r="G27" s="175"/>
      <c r="H27" s="175"/>
      <c r="I27" s="175"/>
      <c r="AR27" s="119" t="s">
        <v>57</v>
      </c>
      <c r="AS27" s="116"/>
      <c r="AT27" s="117">
        <f>SUM(AT6:AT25)+AU27</f>
        <v>229</v>
      </c>
      <c r="AU27" s="118">
        <f>SUM(AU6:AU25)</f>
        <v>5</v>
      </c>
    </row>
    <row r="28" spans="2:49" ht="15.75" x14ac:dyDescent="0.25">
      <c r="B28" s="171"/>
      <c r="C28" s="171"/>
      <c r="D28" s="171"/>
      <c r="E28" s="171"/>
      <c r="F28" s="171"/>
      <c r="G28" s="171"/>
      <c r="H28" s="172"/>
      <c r="I28" s="173"/>
    </row>
    <row r="29" spans="2:49" ht="15.75" x14ac:dyDescent="0.25">
      <c r="B29" s="171"/>
      <c r="C29" s="171"/>
      <c r="D29" s="171"/>
      <c r="E29" s="171"/>
      <c r="F29" s="171"/>
      <c r="G29" s="171"/>
      <c r="H29" s="172"/>
      <c r="I29" s="173"/>
    </row>
    <row r="30" spans="2:49" ht="15.75" x14ac:dyDescent="0.25">
      <c r="B30" s="171"/>
      <c r="C30" s="171"/>
      <c r="D30" s="171"/>
      <c r="E30" s="171"/>
      <c r="F30" s="171"/>
      <c r="G30" s="171"/>
      <c r="H30" s="172"/>
      <c r="I30" s="173"/>
    </row>
    <row r="31" spans="2:49" ht="15.75" x14ac:dyDescent="0.25">
      <c r="B31" s="171"/>
      <c r="C31" s="171"/>
      <c r="D31" s="171"/>
      <c r="E31" s="171"/>
      <c r="F31" s="171"/>
      <c r="G31" s="171"/>
      <c r="H31" s="172"/>
      <c r="I31" s="173"/>
    </row>
    <row r="32" spans="2:49" ht="15.75" x14ac:dyDescent="0.25">
      <c r="B32" s="171"/>
      <c r="C32" s="171"/>
      <c r="D32" s="171"/>
      <c r="E32" s="171"/>
      <c r="F32" s="171"/>
      <c r="G32" s="171"/>
      <c r="H32" s="172"/>
      <c r="I32" s="173"/>
    </row>
    <row r="33" spans="2:9" ht="15.75" x14ac:dyDescent="0.25">
      <c r="B33" s="171"/>
      <c r="C33" s="171"/>
      <c r="D33" s="171"/>
      <c r="E33" s="171"/>
      <c r="F33" s="171"/>
      <c r="G33" s="171"/>
      <c r="H33" s="172"/>
      <c r="I33" s="173"/>
    </row>
    <row r="34" spans="2:9" ht="15.75" x14ac:dyDescent="0.25">
      <c r="B34" s="171"/>
      <c r="C34" s="171"/>
      <c r="D34" s="171"/>
      <c r="E34" s="171"/>
      <c r="F34" s="171"/>
      <c r="G34" s="171"/>
      <c r="H34" s="172"/>
      <c r="I34" s="173"/>
    </row>
    <row r="35" spans="2:9" ht="15.75" x14ac:dyDescent="0.25">
      <c r="B35" s="171"/>
      <c r="C35" s="171"/>
      <c r="D35" s="171"/>
      <c r="E35" s="171"/>
      <c r="F35" s="171"/>
      <c r="G35" s="171"/>
      <c r="H35" s="172"/>
      <c r="I35" s="173"/>
    </row>
    <row r="36" spans="2:9" ht="15.75" x14ac:dyDescent="0.25">
      <c r="B36" s="171"/>
      <c r="C36" s="171"/>
      <c r="D36" s="171"/>
      <c r="E36" s="171"/>
      <c r="F36" s="171"/>
      <c r="G36" s="171"/>
      <c r="H36" s="172"/>
      <c r="I36" s="173"/>
    </row>
    <row r="37" spans="2:9" ht="15.75" x14ac:dyDescent="0.25">
      <c r="B37" s="171"/>
      <c r="C37" s="171"/>
      <c r="D37" s="171"/>
      <c r="E37" s="171"/>
      <c r="F37" s="171"/>
      <c r="G37" s="171"/>
      <c r="H37" s="172"/>
      <c r="I37" s="173"/>
    </row>
    <row r="38" spans="2:9" ht="15.75" x14ac:dyDescent="0.25">
      <c r="B38" s="171"/>
      <c r="C38" s="171"/>
      <c r="D38" s="171"/>
      <c r="E38" s="171"/>
      <c r="F38" s="171"/>
      <c r="G38" s="171"/>
      <c r="H38" s="172"/>
      <c r="I38" s="173"/>
    </row>
    <row r="39" spans="2:9" ht="15.75" x14ac:dyDescent="0.25">
      <c r="B39" s="171"/>
      <c r="C39" s="171"/>
      <c r="D39" s="171"/>
      <c r="E39" s="171"/>
      <c r="F39" s="171"/>
      <c r="G39" s="171"/>
      <c r="H39" s="172"/>
      <c r="I39" s="173"/>
    </row>
    <row r="40" spans="2:9" ht="15.75" x14ac:dyDescent="0.25">
      <c r="B40" s="176"/>
      <c r="C40" s="176"/>
      <c r="D40" s="176"/>
      <c r="E40" s="176"/>
      <c r="F40" s="176"/>
      <c r="G40" s="176"/>
      <c r="H40" s="177"/>
      <c r="I40" s="178"/>
    </row>
  </sheetData>
  <sortState xmlns:xlrd2="http://schemas.microsoft.com/office/spreadsheetml/2017/richdata2" ref="D6:AT23">
    <sortCondition ref="D6"/>
  </sortState>
  <mergeCells count="1">
    <mergeCell ref="B27:D27"/>
  </mergeCells>
  <pageMargins left="0.7" right="0.7" top="0.78740157499999996" bottom="0.78740157499999996" header="0.3" footer="0.3"/>
  <pageSetup paperSize="8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AY26"/>
  <sheetViews>
    <sheetView zoomScale="64" zoomScaleNormal="64" workbookViewId="0">
      <selection activeCell="AG41" sqref="AG41"/>
    </sheetView>
  </sheetViews>
  <sheetFormatPr defaultColWidth="11.42578125" defaultRowHeight="15" x14ac:dyDescent="0.25"/>
  <cols>
    <col min="1" max="1" width="2.28515625" customWidth="1"/>
    <col min="2" max="2" width="7" customWidth="1"/>
    <col min="3" max="3" width="13.85546875" bestFit="1" customWidth="1"/>
    <col min="4" max="4" width="5.140625" bestFit="1" customWidth="1"/>
    <col min="5" max="8" width="6.28515625" bestFit="1" customWidth="1"/>
    <col min="9" max="11" width="7.28515625" bestFit="1" customWidth="1"/>
    <col min="12" max="12" width="6.7109375" customWidth="1"/>
    <col min="13" max="13" width="7.28515625" bestFit="1" customWidth="1"/>
    <col min="14" max="14" width="6.5703125" customWidth="1"/>
    <col min="15" max="15" width="7.42578125" customWidth="1"/>
    <col min="16" max="16" width="6.7109375" customWidth="1"/>
    <col min="17" max="18" width="6.5703125" customWidth="1"/>
    <col min="19" max="19" width="6.7109375" bestFit="1" customWidth="1"/>
    <col min="20" max="22" width="6.28515625" bestFit="1" customWidth="1"/>
    <col min="23" max="23" width="6.140625" customWidth="1"/>
    <col min="24" max="24" width="5.85546875" customWidth="1"/>
    <col min="25" max="25" width="6.28515625" bestFit="1" customWidth="1"/>
    <col min="26" max="26" width="6" customWidth="1"/>
    <col min="27" max="27" width="5.42578125" customWidth="1"/>
    <col min="28" max="28" width="6.140625" customWidth="1"/>
    <col min="29" max="29" width="6.28515625" bestFit="1" customWidth="1"/>
    <col min="30" max="30" width="6.28515625" customWidth="1"/>
    <col min="31" max="31" width="6" customWidth="1"/>
    <col min="32" max="32" width="5.7109375" customWidth="1"/>
    <col min="33" max="34" width="6.28515625" bestFit="1" customWidth="1"/>
    <col min="35" max="35" width="6" customWidth="1"/>
    <col min="36" max="39" width="6.28515625" bestFit="1" customWidth="1"/>
    <col min="40" max="40" width="5.140625" bestFit="1" customWidth="1"/>
    <col min="41" max="41" width="6" customWidth="1"/>
    <col min="42" max="42" width="5.85546875" customWidth="1"/>
    <col min="43" max="43" width="6.28515625" customWidth="1"/>
    <col min="44" max="44" width="6.5703125" bestFit="1" customWidth="1"/>
    <col min="45" max="45" width="8.85546875" bestFit="1" customWidth="1"/>
    <col min="46" max="46" width="5.5703125" bestFit="1" customWidth="1"/>
    <col min="47" max="47" width="13" bestFit="1" customWidth="1"/>
    <col min="48" max="48" width="8" customWidth="1"/>
    <col min="49" max="49" width="5.5703125" customWidth="1"/>
    <col min="50" max="50" width="5" customWidth="1"/>
    <col min="51" max="51" width="6" customWidth="1"/>
    <col min="52" max="52" width="4.7109375" customWidth="1"/>
  </cols>
  <sheetData>
    <row r="4" spans="2:51" ht="15.75" thickBot="1" x14ac:dyDescent="0.3">
      <c r="B4" s="43"/>
      <c r="C4" s="67"/>
      <c r="D4" s="41">
        <v>1</v>
      </c>
      <c r="E4" s="41">
        <v>2</v>
      </c>
      <c r="F4" s="41">
        <v>3</v>
      </c>
      <c r="G4" s="41">
        <v>4</v>
      </c>
      <c r="H4" s="41">
        <v>5</v>
      </c>
      <c r="I4" s="41">
        <v>6</v>
      </c>
      <c r="J4" s="41">
        <v>7</v>
      </c>
      <c r="K4" s="41">
        <v>8</v>
      </c>
      <c r="L4" s="41">
        <v>9</v>
      </c>
      <c r="M4" s="41">
        <v>10</v>
      </c>
      <c r="N4" s="41">
        <v>11</v>
      </c>
      <c r="O4" s="41">
        <v>12</v>
      </c>
      <c r="P4" s="41">
        <v>13</v>
      </c>
      <c r="Q4" s="41">
        <v>14</v>
      </c>
      <c r="R4" s="41">
        <v>15</v>
      </c>
      <c r="S4" s="41">
        <v>16</v>
      </c>
      <c r="T4" s="41">
        <v>17</v>
      </c>
      <c r="U4" s="41">
        <v>18</v>
      </c>
      <c r="V4" s="41">
        <v>19</v>
      </c>
      <c r="W4" s="41">
        <v>20</v>
      </c>
      <c r="X4" s="41">
        <v>21</v>
      </c>
      <c r="Y4" s="41">
        <v>22</v>
      </c>
      <c r="Z4" s="41">
        <v>23</v>
      </c>
      <c r="AA4" s="41">
        <v>24</v>
      </c>
      <c r="AB4" s="41">
        <v>25</v>
      </c>
      <c r="AC4" s="41">
        <v>26</v>
      </c>
      <c r="AD4" s="41">
        <v>27</v>
      </c>
      <c r="AE4" s="41">
        <v>28</v>
      </c>
      <c r="AF4" s="41">
        <v>29</v>
      </c>
      <c r="AG4" s="41">
        <v>30</v>
      </c>
      <c r="AH4" s="41">
        <v>31</v>
      </c>
      <c r="AI4" s="41">
        <v>32</v>
      </c>
      <c r="AJ4" s="41">
        <v>33</v>
      </c>
      <c r="AK4" s="41">
        <v>34</v>
      </c>
      <c r="AL4" s="41">
        <v>35</v>
      </c>
      <c r="AM4" s="41">
        <v>36</v>
      </c>
      <c r="AN4" s="41">
        <v>37</v>
      </c>
      <c r="AO4" s="41">
        <v>38</v>
      </c>
      <c r="AP4" s="41">
        <v>39</v>
      </c>
      <c r="AQ4" s="41">
        <v>40</v>
      </c>
    </row>
    <row r="5" spans="2:51" ht="15.75" thickBot="1" x14ac:dyDescent="0.3">
      <c r="B5" s="5" t="s">
        <v>3</v>
      </c>
      <c r="C5" s="5"/>
      <c r="D5" s="10">
        <v>45538</v>
      </c>
      <c r="E5" s="11">
        <v>45545</v>
      </c>
      <c r="F5" s="10">
        <v>45552</v>
      </c>
      <c r="G5" s="11">
        <v>45559</v>
      </c>
      <c r="H5" s="10">
        <v>45566</v>
      </c>
      <c r="I5" s="11">
        <v>45573</v>
      </c>
      <c r="J5" s="10">
        <v>45580</v>
      </c>
      <c r="K5" s="11">
        <v>45587</v>
      </c>
      <c r="L5" s="11">
        <v>45594</v>
      </c>
      <c r="M5" s="11">
        <v>45601</v>
      </c>
      <c r="N5" s="11">
        <v>45608</v>
      </c>
      <c r="O5" s="11">
        <v>45615</v>
      </c>
      <c r="P5" s="11">
        <v>45622</v>
      </c>
      <c r="Q5" s="11">
        <v>45629</v>
      </c>
      <c r="R5" s="11">
        <v>45643</v>
      </c>
      <c r="S5" s="11">
        <v>45664</v>
      </c>
      <c r="T5" s="11">
        <v>45671</v>
      </c>
      <c r="U5" s="11">
        <v>45678</v>
      </c>
      <c r="V5" s="11">
        <v>45685</v>
      </c>
      <c r="W5" s="11">
        <v>45692</v>
      </c>
      <c r="X5" s="11">
        <v>45699</v>
      </c>
      <c r="Y5" s="11">
        <v>45706</v>
      </c>
      <c r="Z5" s="11">
        <v>45713</v>
      </c>
      <c r="AA5" s="11">
        <v>45720</v>
      </c>
      <c r="AB5" s="11">
        <v>45727</v>
      </c>
      <c r="AC5" s="11">
        <v>45734</v>
      </c>
      <c r="AD5" s="11">
        <v>45741</v>
      </c>
      <c r="AE5" s="11">
        <v>45748</v>
      </c>
      <c r="AF5" s="11">
        <v>45755</v>
      </c>
      <c r="AG5" s="11">
        <v>45762</v>
      </c>
      <c r="AH5" s="10">
        <v>45769</v>
      </c>
      <c r="AI5" s="11">
        <v>45776</v>
      </c>
      <c r="AJ5" s="10">
        <v>45783</v>
      </c>
      <c r="AK5" s="11">
        <v>45790</v>
      </c>
      <c r="AL5" s="10">
        <v>45797</v>
      </c>
      <c r="AM5" s="11">
        <v>45804</v>
      </c>
      <c r="AN5" s="10">
        <v>45811</v>
      </c>
      <c r="AO5" s="11">
        <v>45818</v>
      </c>
      <c r="AP5" s="10">
        <v>45825</v>
      </c>
      <c r="AQ5" s="11">
        <v>45832</v>
      </c>
      <c r="AR5" s="12" t="s">
        <v>8</v>
      </c>
      <c r="AS5" s="13" t="s">
        <v>29</v>
      </c>
      <c r="AT5" s="14" t="s">
        <v>10</v>
      </c>
      <c r="AU5" s="15" t="s">
        <v>11</v>
      </c>
      <c r="AW5" s="68" t="s">
        <v>5</v>
      </c>
      <c r="AX5" s="2" t="s">
        <v>7</v>
      </c>
      <c r="AY5" s="69" t="s">
        <v>6</v>
      </c>
    </row>
    <row r="6" spans="2:51" x14ac:dyDescent="0.25">
      <c r="B6" s="6">
        <v>1</v>
      </c>
      <c r="C6" s="65" t="s">
        <v>20</v>
      </c>
      <c r="D6" s="66" t="str">
        <f>IF(OR(Begegnungen!$C$3=$C$6,Begegnungen!$C$4=$C$6,Begegnungen!$C$5=$C$6,Begegnungen!$C$6=$C$6,Begegnungen!$C$7=$C$6,Begegnungen!$C$8=$C$6,Begegnungen!$C$9=$C$6),Begegnungen!$C$16,IF(OR(Begegnungen!$E$3=$C$6,Begegnungen!$E$4=$C$6,Begegnungen!$E$5=$C$6,Begegnungen!$E$6=$C$6,Begegnungen!$E$7=$C$6,Begegnungen!$E$8=$C$6,Begegnungen!$E$9=$C$6),Begegnungen!$E$16,""))</f>
        <v/>
      </c>
      <c r="E6" s="66" t="str">
        <f>IF(OR(Begegnungen!$I$3=C6,Begegnungen!$I$4=C6,Begegnungen!$I$5=C6,Begegnungen!$I$6=C6,Begegnungen!$I$7=C6,Begegnungen!$I$8=C6,Begegnungen!$I$9=C6),Begegnungen!$I$16,IF(OR(Begegnungen!$K$3=C6,Begegnungen!$K$4=C6,Begegnungen!$K$5=C6,Begegnungen!$K$6=C6,Begegnungen!$K$7=C6,Begegnungen!$K$8=C6,Begegnungen!$K$9=C6),Begegnungen!$K$16,""))</f>
        <v/>
      </c>
      <c r="F6" s="66" t="str">
        <f>IF(OR(Begegnungen!$C$19=C6,Begegnungen!$C$20=C6,Begegnungen!$C$21=C6,Begegnungen!$C$22=C6,Begegnungen!$C$23=C6,Begegnungen!$C$24=C6,Begegnungen!$C$25=C6),Begegnungen!$C$32,IF(OR(Begegnungen!$E$19=C6,Begegnungen!$E$20=C6,Begegnungen!$E$21=C6,Begegnungen!$E$22=C6,Begegnungen!$E$23=C6,Begegnungen!$E$24=C6,Begegnungen!$E$25=C6),Begegnungen!$E$32,""))</f>
        <v/>
      </c>
      <c r="G6" s="66" t="str">
        <f>IF(OR(Begegnungen!$I$19=C6,Begegnungen!$I$20=C6,Begegnungen!$I$21=C6,Begegnungen!$I$22=C6,Begegnungen!$I$23=C6,Begegnungen!$I$24=C6,Begegnungen!$I$25=C6),Begegnungen!$I$32,IF(OR(Begegnungen!$K$19=C6,Begegnungen!$K$20=C6,Begegnungen!$K$21=C6,Begegnungen!$K$22=C6,Begegnungen!$K$23=C6,Begegnungen!$K$24=C6,Begegnungen!$K$25=C6),Begegnungen!$K$32,""))</f>
        <v/>
      </c>
      <c r="H6" s="66" t="str">
        <f>IF(OR(Begegnungen!$C$35=C6,Begegnungen!$C$36=C6,Begegnungen!$C$37=C6,Begegnungen!$C$38=C6,Begegnungen!$C$39=C6,Begegnungen!$C$40=C6,Begegnungen!$C$41=C6),Begegnungen!$C$49,IF(OR(Begegnungen!$E$35=C6,Begegnungen!$E$36=C6,Begegnungen!$E$37=C6,Begegnungen!$E$38=C6,Begegnungen!$E$39=C6,Begegnungen!$E$40=C6,Begegnungen!$E$41=C6),Begegnungen!$E$49,""))</f>
        <v/>
      </c>
      <c r="I6" s="66" t="str">
        <f>IF(OR(Begegnungen!$I$35=C6,Begegnungen!$I$36=C6,Begegnungen!$I$37=C6,Begegnungen!$I$38=C6,Begegnungen!$I$39=C6,Begegnungen!$I$40=C6,Begegnungen!$I$41=C6),Begegnungen!$I$49,IF(OR(Begegnungen!$K$35=C6,Begegnungen!$K$36=C6,Begegnungen!$K$37=C6,Begegnungen!$K$38=C6,Begegnungen!$K$39=C6,Begegnungen!$K$40=C6,Begegnungen!$K$41=C6),Begegnungen!$K$49,""))</f>
        <v/>
      </c>
      <c r="J6" s="66" t="str">
        <f>IF(OR(Begegnungen!$C$52=C6,Begegnungen!$C$53=C6,Begegnungen!$C$54=C6,Begegnungen!$C$55=C6,Begegnungen!$C$56=C6,Begegnungen!$C$57=C6,Begegnungen!$C$58=C6),Begegnungen!$C$65,IF(OR(Begegnungen!$E$52=C6,Begegnungen!$E$53=C6,Begegnungen!$E$54=C6,Begegnungen!$E$55=C6,Begegnungen!$E$56=C6,Begegnungen!$E$57=C6,Begegnungen!$E$58=C6),Begegnungen!$E$65,""))</f>
        <v/>
      </c>
      <c r="K6" s="66" t="str">
        <f>IF(OR(Begegnungen!$I$52=C6,Begegnungen!$I$53=C6,Begegnungen!$I$54=C6,Begegnungen!$I$55=C6,Begegnungen!$I$56=C6,Begegnungen!$I$57=C6,Begegnungen!$I$58=C6),Begegnungen!$I$65,IF(OR(Begegnungen!$K$52=C6,Begegnungen!$K$53=C6,Begegnungen!$K$54=C6,Begegnungen!$K$55=C6,Begegnungen!$K$56=C6,Begegnungen!$K$57=C6,Begegnungen!$K$58=C6),Begegnungen!$K$65,""))</f>
        <v/>
      </c>
      <c r="L6" s="136" t="str">
        <f>IF(OR(Begegnungen!$C$68=C6,Begegnungen!$C$69=C6,Begegnungen!$C$70=C6,Begegnungen!$C$71=C6,Begegnungen!$C$72=C6,Begegnungen!$C$73=C6,Begegnungen!$C$74=C6),Begegnungen!$C$81,IF(OR(Begegnungen!$E$68=C6,Begegnungen!$E$69=C6,Begegnungen!$E$70=C6,Begegnungen!$E$71=C6,Begegnungen!$E$72=C6,Begegnungen!$E$73=C6,Begegnungen!$E$74=C6),Begegnungen!$E$81,""))</f>
        <v/>
      </c>
      <c r="M6" s="66" t="str">
        <f>IF(OR(Begegnungen!$I$68=C6,Begegnungen!$I$69=C6,Begegnungen!$I$70=C6,Begegnungen!$I$71=C6,Begegnungen!$I$72=C6,Begegnungen!$I$73=C6,Begegnungen!$I$74=C6),Begegnungen!$I$81,IF(OR(Begegnungen!$K$68=C6,Begegnungen!$K$69=C6,Begegnungen!$K$70=C6,Begegnungen!$K$71=C6,Begegnungen!$K$72=C6,Begegnungen!$K$73=C6,Begegnungen!$K$74=C6),Begegnungen!$K$81,""))</f>
        <v/>
      </c>
      <c r="N6" s="66" t="str">
        <f>IF(OR(Begegnungen!$C$84=C6,Begegnungen!$C$85=C6,Begegnungen!$C$86=C6,Begegnungen!$C$87=C6,Begegnungen!$C$88=C6,Begegnungen!$C$89=C6,Begegnungen!$C$90=C6),Begegnungen!$C$98,IF(OR(Begegnungen!$E$84=C6,Begegnungen!$E$85=C6,Begegnungen!$E$86=C6,Begegnungen!$E$87=C6,Begegnungen!$E$88=C6,Begegnungen!$E$89=C6,Begegnungen!$E$90=C6),Begegnungen!$E$98,""))</f>
        <v/>
      </c>
      <c r="O6" s="66" t="str">
        <f>IF(OR(Begegnungen!$I$84=C6,Begegnungen!$I$85=C6,Begegnungen!$I$86=C6,Begegnungen!$I$87=C6,Begegnungen!$I$88=C6,Begegnungen!$I$89=C6,Begegnungen!$I$90=C6),Begegnungen!$I$98,IF(OR(Begegnungen!$K$84=C6,Begegnungen!$K$85=C6,Begegnungen!$K$86=C6,Begegnungen!$K$87=C6,Begegnungen!$K$88=C6,Begegnungen!$K$89=C6,Begegnungen!$K$90=C6),Begegnungen!$K$98,""))</f>
        <v/>
      </c>
      <c r="P6" s="66"/>
      <c r="Q6" s="66" t="str">
        <f>IF(OR(Begegnungen!$I$101=C6,Begegnungen!$I$102=C6,Begegnungen!$I$103=C6,Begegnungen!$I$104=C6,Begegnungen!$I$105=C6,Begegnungen!$I$106=C6,Begegnungen!$I$107=C6),Begegnungen!$I$114,IF(OR(Begegnungen!$K$101=C6,Begegnungen!$K$102=C6,Begegnungen!$K$103=C6,Begegnungen!$K$104=C6,Begegnungen!$K$105=C6,Begegnungen!$K$106=C6,Begegnungen!$K$107=C6),Begegnungen!$K$114,""))</f>
        <v/>
      </c>
      <c r="R6" s="136" t="str">
        <f>IF(OR(Begegnungen!$C$117=C6,Begegnungen!$C$118=C6,Begegnungen!$C$119=C6,Begegnungen!$C$120=C6,Begegnungen!$C$121=C6,Begegnungen!$C$122=C6,Begegnungen!$C$123=C6),Begegnungen!$C$130,IF(OR(Begegnungen!$E$117=C6,Begegnungen!$E$118=C6,Begegnungen!$E$119=C6,Begegnungen!$E$120=C6,Begegnungen!$E$121=C6,Begegnungen!$E$122=C6,Begegnungen!$E$123=C6),Begegnungen!$E$130,""))</f>
        <v/>
      </c>
      <c r="S6" s="66" t="str">
        <f>IF(OR(Begegnungen!$I$117=C6,Begegnungen!$I$118=C6,Begegnungen!$I$119=C6,Begegnungen!$I$120=C6,Begegnungen!$I$121=C6,Begegnungen!$I$122=C6,Begegnungen!$I$123=C6),Begegnungen!$I$130,IF(OR(Begegnungen!$K$117=C6,Begegnungen!$K$118=C6,Begegnungen!$K$119=C6,Begegnungen!$K$120=C6,Begegnungen!$K$121=C6,Begegnungen!$K$122=C6,Begegnungen!$K$123=C6),Begegnungen!$K$130,""))</f>
        <v/>
      </c>
      <c r="T6" s="66" t="str">
        <f>IF(OR(Begegnungen!$C$133=C6,Begegnungen!$C$134=C6,Begegnungen!$C$135=C6,Begegnungen!$C$136=C6,Begegnungen!$C$137=C6,Begegnungen!$C$138=C6,Begegnungen!$C$139=C6),Begegnungen!$C$146,IF(OR(Begegnungen!$E$133=C6,Begegnungen!$E$134=C6,Begegnungen!$E$135=C6,Begegnungen!$E$136=C6,Begegnungen!$E$137=C6,Begegnungen!$E$138=C6,Begegnungen!$E$139=C6),Begegnungen!$E$146,""))</f>
        <v/>
      </c>
      <c r="U6" s="66" t="str">
        <f>IF(OR(Begegnungen!$I$133=C6,Begegnungen!$I$134=C6,Begegnungen!$I$135=C6,Begegnungen!$I$136=C6,Begegnungen!$I$137=C6,Begegnungen!$I$138=C6,Begegnungen!$I$139=C6),Begegnungen!$I$146,IF(OR(Begegnungen!$K$133=C6,Begegnungen!$K$134=C6,Begegnungen!$K$135=C6,Begegnungen!$K$136=C6,Begegnungen!$K$137=C6,Begegnungen!$K$138=C6,Begegnungen!$K$139=C6),Begegnungen!$K$146,""))</f>
        <v/>
      </c>
      <c r="V6" s="66" t="str">
        <f>IF(OR(Begegnungen!$C$149=C6,Begegnungen!$C$150=C6,Begegnungen!$C$151=C6,Begegnungen!$C$152=C6,Begegnungen!$C$153=C6,Begegnungen!$C$154=C6,Begegnungen!$C$155=C6),Begegnungen!$C$162,IF(OR(Begegnungen!$E$149=C6,Begegnungen!$E$150=C6,Begegnungen!$E$151=C6,Begegnungen!$E$152=C6,Begegnungen!$E$153=C6,Begegnungen!$E$154=C6,Begegnungen!$E$155=C6),Begegnungen!$E$162,""))</f>
        <v/>
      </c>
      <c r="W6" s="66" t="str">
        <f>IF(OR(Begegnungen!$I$149=C6,Begegnungen!$I$150=C6,Begegnungen!$I$151=C6,Begegnungen!$I$152=C6,Begegnungen!$I$153=C6,Begegnungen!$I$154=C6,Begegnungen!$I$155=C6),Begegnungen!$I$162,IF(OR(Begegnungen!$K$149=C6,Begegnungen!$K$150=C6,Begegnungen!$K$151=C6,Begegnungen!$K$152=C6,Begegnungen!$K$153=C6,Begegnungen!$K$154=C6,Begegnungen!$K$155=C6),Begegnungen!$K$162,""))</f>
        <v/>
      </c>
      <c r="X6" s="66"/>
      <c r="Y6" s="66" t="str">
        <f>IF(OR(Begegnungen!$I$165=C6,Begegnungen!$I$166=C6,Begegnungen!$I$167=C6,Begegnungen!$I$168=C6,Begegnungen!$I$169=C6,Begegnungen!$I$170=C6,Begegnungen!$I$171=C6),Begegnungen!$I$178,IF(OR(Begegnungen!$K$165=C6,Begegnungen!$K$166=C6,Begegnungen!$K$167=C6,Begegnungen!$K$168=C6,Begegnungen!$K$169=C6,Begegnungen!$K$170=C6,Begegnungen!$K$171=C6),Begegnungen!$K$178,""))</f>
        <v/>
      </c>
      <c r="Z6" s="66" t="str">
        <f>IF(OR(Begegnungen!$C$181=C6,Begegnungen!$C$182=C6,Begegnungen!$C$183=C6,Begegnungen!$C$184=C6,Begegnungen!$C$185=C6,Begegnungen!$C$186=C6,Begegnungen!$C$187=C6),Begegnungen!$C$194,IF(OR(Begegnungen!$E$181=C6,Begegnungen!$E$182=C6,Begegnungen!$E$183=C6,Begegnungen!$E$184=C6,Begegnungen!$E$185=C6,Begegnungen!$E$186=C6,Begegnungen!$E$187=C6),Begegnungen!$E$194,""))</f>
        <v/>
      </c>
      <c r="AA6" s="66" t="str">
        <f>IF(OR(Begegnungen!$I$181=C6,Begegnungen!$I$182=C6,Begegnungen!$I$183=C6,Begegnungen!$I$184=C6,Begegnungen!$I$185=C6,Begegnungen!$I$186=C6,Begegnungen!$I$187=C6),Begegnungen!$I$194,IF(OR(Begegnungen!$K$181=C6,Begegnungen!$K$182=C6,Begegnungen!$K$183=C6,Begegnungen!$K$184=C6,Begegnungen!$K$185=C6,Begegnungen!$K$186=C6,Begegnungen!$K$187=C6),Begegnungen!$K$194,""))</f>
        <v/>
      </c>
      <c r="AB6" s="66" t="str">
        <f>IF(OR(Begegnungen!$C$197=C6,Begegnungen!$C$198=C6,Begegnungen!$C$199=C6,Begegnungen!$C$200=C6,Begegnungen!$C$201=C6,Begegnungen!$C$202=C6,Begegnungen!$C$203=C6),Begegnungen!$C$210,IF(OR(Begegnungen!$E$197=C6,Begegnungen!$E$198=C6,Begegnungen!$E$199=C6,Begegnungen!$E$200=C6,Begegnungen!$E$201=C6,Begegnungen!$E$202=C6,Begegnungen!$E$203=C6),Begegnungen!$E$210,""))</f>
        <v/>
      </c>
      <c r="AC6" s="66" t="str">
        <f>IF(OR(Begegnungen!$I$197=C6,Begegnungen!$I$198=C6,Begegnungen!$I$199=C6,Begegnungen!$I$200=C6,Begegnungen!$I$201=C6,Begegnungen!$I$202=C6,Begegnungen!$I$203=C6),Begegnungen!$I$210,IF(OR(Begegnungen!$K$197=C6,Begegnungen!$K$198=C6,Begegnungen!$K$199=C6,Begegnungen!$K$200=C6,Begegnungen!$K$201=C6,Begegnungen!$K$202=C6,Begegnungen!$K$203=C6),Begegnungen!$K$210,""))</f>
        <v/>
      </c>
      <c r="AD6" s="66" t="str">
        <f>IF(OR(Begegnungen!$C$213=C6,Begegnungen!$C$214=C6,Begegnungen!$C$215=C6,Begegnungen!$C$216=C6,Begegnungen!$C$217=C6,Begegnungen!$C$218=C6,Begegnungen!$C$219=C6),Begegnungen!$C$226,IF(OR(Begegnungen!$E$213=C6,Begegnungen!$E$214=C6,Begegnungen!$E$215=C6,Begegnungen!$E$216=C6,Begegnungen!$E$217=C6,Begegnungen!$E$218=C6,Begegnungen!$E$219=C6),Begegnungen!$E$226,""))</f>
        <v/>
      </c>
      <c r="AE6" s="66" t="str">
        <f>IF(OR(Begegnungen!$I$213=C6,Begegnungen!$I$214=C6,Begegnungen!$I$215=C6,Begegnungen!$I$216=C6,Begegnungen!$I$217=C6,Begegnungen!$I$218=C6,Begegnungen!$I$219=C6),Begegnungen!$I$226,IF(OR(Begegnungen!$K$213=C6,Begegnungen!$K$214=C6,Begegnungen!$K$215=C6,Begegnungen!$K$216=C6,Begegnungen!$K$217=C6,Begegnungen!$K$218=C6,Begegnungen!$K$219=C6),Begegnungen!$K$226,""))</f>
        <v/>
      </c>
      <c r="AF6" s="136" t="str">
        <f>IF(OR(Begegnungen!$C$229=C6,Begegnungen!$C$230=C6,Begegnungen!$C$231=C6,Begegnungen!$C$232=C6,Begegnungen!$C$233=C6,Begegnungen!$C$234=C6,Begegnungen!$C$235=C6),Begegnungen!$C$242,IF(OR(Begegnungen!$E$229=C6,Begegnungen!$E$230=C6,Begegnungen!$E$231=C6,Begegnungen!$E$232=C6,Begegnungen!$E$233=C6,Begegnungen!$E$234=C6,Begegnungen!$E$235=C6),Begegnungen!$E$242,""))</f>
        <v/>
      </c>
      <c r="AG6" s="66" t="str">
        <f>IF(OR(Begegnungen!$I$229=C6,Begegnungen!$I$230=C6,Begegnungen!$I$231=C6,Begegnungen!$I$232=C6,Begegnungen!$I$233=C6,Begegnungen!$I$234=C6,Begegnungen!$I$235=C6),Begegnungen!$I$242,IF(OR(Begegnungen!$K$229=C6,Begegnungen!$K$230=C6,Begegnungen!$K$231=C6,Begegnungen!$K$232=C6,Begegnungen!$K$233=C6,Begegnungen!$K$234=C6,Begegnungen!$K$235=C6),Begegnungen!$K$242,""))</f>
        <v/>
      </c>
      <c r="AH6" s="66" t="str">
        <f>IF(OR(Begegnungen!$C$245=C6,Begegnungen!$C$246=C6,Begegnungen!$C$247=C6,Begegnungen!$C$248=C6,Begegnungen!$C$249=C6,Begegnungen!$C$250=C6,Begegnungen!$C$251=C6),Begegnungen!$C$258,IF(OR(Begegnungen!$E$245=C6,Begegnungen!$E$246=C6,Begegnungen!$E$247=C6,Begegnungen!$E$248=C6,Begegnungen!$E$249=C6,Begegnungen!$E$250=C6,Begegnungen!$E$251=C6),Begegnungen!$E$258,""))</f>
        <v/>
      </c>
      <c r="AI6" s="66" t="str">
        <f>IF(OR(Begegnungen!$I$245=C6,Begegnungen!$I$246=C6,Begegnungen!$I$247=C6,Begegnungen!$I$248=C6,Begegnungen!$I$249=C6,Begegnungen!$I$250=C6,Begegnungen!$I$251=C6),Begegnungen!$I$258,IF(OR(Begegnungen!$K$245=C6,Begegnungen!$K$246=C6,Begegnungen!$K$247=C6,Begegnungen!$K$248=C6,Begegnungen!$K$249=C6,Begegnungen!$K$250=C6,Begegnungen!$K$251=C6),Begegnungen!$K$258,""))</f>
        <v/>
      </c>
      <c r="AJ6" s="66" t="str">
        <f>IF(OR(Begegnungen!$C$261=C6,Begegnungen!$C$262=C6,Begegnungen!$C$263=C6,Begegnungen!$C$264=C6,Begegnungen!$C$265=C6,Begegnungen!$C$266=C6,Begegnungen!$C$267=C6),Begegnungen!$C$274,IF(OR(Begegnungen!$E$261=C6,Begegnungen!$E$262=C6,Begegnungen!$E$263=C6,Begegnungen!$E$264=C6,Begegnungen!$E$265=C6,Begegnungen!$E$266=C6,Begegnungen!$E$267=C6),Begegnungen!$E$274,""))</f>
        <v/>
      </c>
      <c r="AK6" s="66" t="str">
        <f>IF(OR(Begegnungen!$I$261=C6,Begegnungen!$I$262=C6,Begegnungen!$I$263=C6,Begegnungen!$I$264=C6,Begegnungen!$I$265=C6,Begegnungen!$I$266=C6,Begegnungen!$I$267=C6),Begegnungen!$I$274,IF(OR(Begegnungen!$K$261=C6,Begegnungen!$K$262=C6,Begegnungen!$K$263=C6,Begegnungen!$K$264=C6,Begegnungen!$K$265=C6,Begegnungen!$K$266=C6,Begegnungen!$K$267=C6),Begegnungen!$K$274,""))</f>
        <v/>
      </c>
      <c r="AL6" s="66" t="str">
        <f>IF(OR(Begegnungen!$C$277=C6,Begegnungen!$C$278=C6,Begegnungen!$C$279=C6,Begegnungen!$C$280=C6,Begegnungen!$C$281=C6,Begegnungen!$C$282=C6,Begegnungen!$C$283=C6),Begegnungen!$C$290,IF(OR(Begegnungen!$E$277=C6,Begegnungen!$E$278=C6,Begegnungen!$E$279=C6,Begegnungen!$E$280=C6,Begegnungen!$E$281=C6,Begegnungen!$E$282=C6,Begegnungen!$E$283=C6),Begegnungen!$E$290,""))</f>
        <v/>
      </c>
      <c r="AM6" s="136" t="str">
        <f>IF(OR(Begegnungen!$I$277=C6,Begegnungen!$I$278=C6,Begegnungen!$I$279=C6,Begegnungen!$I$280=C6,Begegnungen!$I$281=C6,Begegnungen!$I$282=C6,Begegnungen!$I$283=C6),Begegnungen!$I$290,IF(OR(Begegnungen!$K$277=C6,Begegnungen!$K$278=C6,Begegnungen!$K$279=C6,Begegnungen!$K$280=C6,Begegnungen!$K$281=C6,Begegnungen!$K$282=C6,Begegnungen!$K$283=C6),Begegnungen!$K$290,""))</f>
        <v/>
      </c>
      <c r="AN6" s="66" t="str">
        <f>IF(OR(Begegnungen!$C$293=C6,Begegnungen!$C$294=C6,Begegnungen!$C$295=C6,Begegnungen!$C$296=C6,Begegnungen!$C$297=C6,Begegnungen!$C$298=C6,Begegnungen!$C$299=C6),Begegnungen!$C$306,IF(OR(Begegnungen!$E$293=C6,Begegnungen!$E$294=C6,Begegnungen!$E$295=C6,Begegnungen!$E$296=C6,Begegnungen!$E$297=C6,Begegnungen!$E$298=C6,Begegnungen!$E$299=C6),Begegnungen!$E$306,""))</f>
        <v/>
      </c>
      <c r="AO6" s="136" t="str">
        <f>IF(OR(Begegnungen!$I$293=C6,Begegnungen!$I$294=C6,Begegnungen!$I$295=C6,Begegnungen!$I$296=C6,Begegnungen!$I$297=C6,Begegnungen!$I$298=C6,Begegnungen!$I$299=C6),Begegnungen!$I$306,IF(OR(Begegnungen!$K$293=C6,Begegnungen!$K$294=C6,Begegnungen!$K$295=C6,Begegnungen!$K$296=C6,Begegnungen!$K$297=C6,Begegnungen!$K$298=C6,Begegnungen!$K$299=C6),Begegnungen!$K$306,""))</f>
        <v/>
      </c>
      <c r="AP6" s="136" t="str">
        <f>IF(OR(Begegnungen!$C$309=C6,Begegnungen!$C$310=C6,Begegnungen!$C$311=C6,Begegnungen!$C$312=C6,Begegnungen!$C$313=C6,Begegnungen!$C$314=C6,Begegnungen!$C$315=C6),Begegnungen!$C$322,IF(OR(Begegnungen!$E$309=C6,Begegnungen!$E$310=C6,Begegnungen!$E$311=C6,Begegnungen!$E$312=C6,Begegnungen!$E$313=C6,Begegnungen!$E$314=C6,Begegnungen!$E$315=C6),Begegnungen!$E$322,""))</f>
        <v/>
      </c>
      <c r="AQ6" s="66" t="str">
        <f>IF(OR(Begegnungen!$I$309=C6,Begegnungen!$I$310=C6,Begegnungen!$I$311=C6,Begegnungen!$I$312=C6,Begegnungen!$I$313=C6,Begegnungen!$I$314=C6,Begegnungen!$I$315=C6),Begegnungen!$I$322,IF(OR(Begegnungen!$K$309=C6,Begegnungen!$K$310=C6,Begegnungen!$K$311=C6,Begegnungen!$K$312=C6,Begegnungen!$K$313=C6,Begegnungen!$K$314=C6,Begegnungen!$K$315=C6),Begegnungen!$K$322,""))</f>
        <v/>
      </c>
      <c r="AR6" s="18">
        <f>AW6*3+AX6</f>
        <v>0</v>
      </c>
      <c r="AS6" s="19">
        <f t="shared" ref="AS6:AS24" si="0">40-COUNTBLANK(D6:AQ6)</f>
        <v>0</v>
      </c>
      <c r="AT6" s="20">
        <f t="shared" ref="AT6:AT24" si="1">AS6*0.05</f>
        <v>0</v>
      </c>
      <c r="AU6" s="21" t="e">
        <f>AR6/AS6+AT6</f>
        <v>#DIV/0!</v>
      </c>
      <c r="AW6" s="70">
        <f>COUNTIF(D6:AQ6,3)</f>
        <v>0</v>
      </c>
      <c r="AX6" s="30">
        <f>COUNTIF(D6:AQ6,1)</f>
        <v>0</v>
      </c>
      <c r="AY6" s="71">
        <f>COUNTIF(D6:AQ6,0)</f>
        <v>0</v>
      </c>
    </row>
    <row r="7" spans="2:51" x14ac:dyDescent="0.25">
      <c r="B7" s="3">
        <v>2</v>
      </c>
      <c r="C7" s="65" t="s">
        <v>25</v>
      </c>
      <c r="D7" s="66" t="str">
        <f>IF(OR(Begegnungen!$C$3=C7,Begegnungen!$C$4=C7,Begegnungen!$C$5=C7,Begegnungen!$C$6=C7,Begegnungen!$C$7=C7,Begegnungen!$C$8=C7,Begegnungen!$C$9=C7),Begegnungen!$C$16,IF(OR(Begegnungen!$E$3=C7,Begegnungen!$E$4=C7,Begegnungen!$E$5=C7,Begegnungen!$E$6=C7,Begegnungen!$E$7=C7,Begegnungen!$E$8=C7,Begegnungen!$E$9=C7),Begegnungen!$E$16,""))</f>
        <v>1</v>
      </c>
      <c r="E7" s="66" t="str">
        <f>IF(OR(Begegnungen!$I$3=C7,Begegnungen!$I$4=C7,Begegnungen!$I$5=C7,Begegnungen!$I$6=C7,Begegnungen!$I$7=C7,Begegnungen!$I$8=C7,Begegnungen!$I$9=C7),Begegnungen!$I$16,IF(OR(Begegnungen!$K$3=C7,Begegnungen!$K$4=C7,Begegnungen!$K$5=C7,Begegnungen!$K$6=C7,Begegnungen!$K$7=C7,Begegnungen!$K$8=C7,Begegnungen!$K$9=C7),Begegnungen!$K$16,""))</f>
        <v>3</v>
      </c>
      <c r="F7" s="66" t="str">
        <f>IF(OR(Begegnungen!$C$19=C7,Begegnungen!$C$20=C7,Begegnungen!$C$21=C7,Begegnungen!$C$22=C7,Begegnungen!$C$23=C7,Begegnungen!$C$24=C7,Begegnungen!$C$25=C7),Begegnungen!$C$32,IF(OR(Begegnungen!$E$19=C7,Begegnungen!$E$20=C7,Begegnungen!$E$21=C7,Begegnungen!$E$22=C7,Begegnungen!$E$23=C7,Begegnungen!$E$24=C7,Begegnungen!$E$25=C7),Begegnungen!$E$32,""))</f>
        <v>0</v>
      </c>
      <c r="G7" s="66" t="str">
        <f>IF(OR(Begegnungen!$I$19=C7,Begegnungen!$I$20=C7,Begegnungen!$I$21=C7,Begegnungen!$I$22=C7,Begegnungen!$I$23=C7,Begegnungen!$I$24=C7,Begegnungen!$I$25=C7),Begegnungen!$I$32,IF(OR(Begegnungen!$K$19=C7,Begegnungen!$K$20=C7,Begegnungen!$K$21=C7,Begegnungen!$K$22=C7,Begegnungen!$K$23=C7,Begegnungen!$K$24=C7,Begegnungen!$K$25=C7),Begegnungen!$K$32,""))</f>
        <v>0</v>
      </c>
      <c r="H7" s="66" t="str">
        <f>IF(OR(Begegnungen!$C$35=C7,Begegnungen!$C$36=C7,Begegnungen!$C$37=C7,Begegnungen!$C$38=C7,Begegnungen!$C$39=C7,Begegnungen!$C$40=C7,Begegnungen!$C$41=C7),Begegnungen!$C$49,IF(OR(Begegnungen!$E$35=C7,Begegnungen!$E$36=C7,Begegnungen!$E$37=C7,Begegnungen!$E$38=C7,Begegnungen!$E$39=C7,Begegnungen!$E$40=C7,Begegnungen!$E$41=C7),Begegnungen!$E$49,""))</f>
        <v>0</v>
      </c>
      <c r="I7" s="66" t="str">
        <f>IF(OR(Begegnungen!$I$35=C7,Begegnungen!$I$36=C7,Begegnungen!$I$37=C7,Begegnungen!$I$38=C7,Begegnungen!$I$39=C7,Begegnungen!$I$40=C7,Begegnungen!$I$41=C7),Begegnungen!$I$49,IF(OR(Begegnungen!$K$35=C7,Begegnungen!$K$36=C7,Begegnungen!$K$37=C7,Begegnungen!$K$38=C7,Begegnungen!$K$39=C7,Begegnungen!$K$40=C7,Begegnungen!$K$41=C7),Begegnungen!$K$49,""))</f>
        <v/>
      </c>
      <c r="J7" s="66" t="str">
        <f>IF(OR(Begegnungen!$C$52=C7,Begegnungen!$C$53=C7,Begegnungen!$C$54=C7,Begegnungen!$C$55=C7,Begegnungen!$C$56=C7,Begegnungen!$C$57=C7,Begegnungen!$C$58=C7),Begegnungen!$C$65,IF(OR(Begegnungen!$E$52=C7,Begegnungen!$E$53=C7,Begegnungen!$E$54=C7,Begegnungen!$E$55=C7,Begegnungen!$E$56=C7,Begegnungen!$E$57=C7,Begegnungen!$E$58=C7),Begegnungen!$E$65,""))</f>
        <v>3</v>
      </c>
      <c r="K7" s="66" t="str">
        <f>IF(OR(Begegnungen!$I$52=C7,Begegnungen!$I$53=C7,Begegnungen!$I$54=C7,Begegnungen!$I$55=C7,Begegnungen!$I$56=C7,Begegnungen!$I$57=C7,Begegnungen!$I$58=C7),Begegnungen!$I$65,IF(OR(Begegnungen!$K$52=C7,Begegnungen!$K$53=C7,Begegnungen!$K$54=C7,Begegnungen!$K$55=C7,Begegnungen!$K$56=C7,Begegnungen!$K$57=C7,Begegnungen!$K$58=C7),Begegnungen!$K$65,""))</f>
        <v/>
      </c>
      <c r="L7" s="136" t="str">
        <f>IF(OR(Begegnungen!$C$68=C7,Begegnungen!$C$69=C7,Begegnungen!$C$70=C7,Begegnungen!$C$71=C7,Begegnungen!$C$72=C7,Begegnungen!$C$73=C7,Begegnungen!$C$74=C7),Begegnungen!$C$81,IF(OR(Begegnungen!$E$68=C7,Begegnungen!$E$69=C7,Begegnungen!$E$70=C7,Begegnungen!$E$71=C7,Begegnungen!$E$72=C7,Begegnungen!$E$73=C7,Begegnungen!$E$74=C7),Begegnungen!$E$81,""))</f>
        <v>3</v>
      </c>
      <c r="M7" s="66" t="str">
        <f>IF(OR(Begegnungen!$I$68=C7,Begegnungen!$I$69=C7,Begegnungen!$I$70=C7,Begegnungen!$I$71=C7,Begegnungen!$I$72=C7,Begegnungen!$I$73=C7,Begegnungen!$I$74=C7),Begegnungen!$I$81,IF(OR(Begegnungen!$K$68=C7,Begegnungen!$K$69=C7,Begegnungen!$K$70=C7,Begegnungen!$K$71=C7,Begegnungen!$K$72=C7,Begegnungen!$K$73=C7,Begegnungen!$K$74=C7),Begegnungen!$K$81,""))</f>
        <v>3</v>
      </c>
      <c r="N7" s="66" t="str">
        <f>IF(OR(Begegnungen!$C$84=C7,Begegnungen!$C$85=C7,Begegnungen!$C$86=C7,Begegnungen!$C$87=C7,Begegnungen!$C$88=C7,Begegnungen!$C$89=C7,Begegnungen!$C$90=C7),Begegnungen!$C$98,IF(OR(Begegnungen!$E$84=C7,Begegnungen!$E$85=C7,Begegnungen!$E$86=C7,Begegnungen!$E$87=C7,Begegnungen!$E$88=C7,Begegnungen!$E$89=C7,Begegnungen!$E$90=C7),Begegnungen!$E$98,""))</f>
        <v>0</v>
      </c>
      <c r="O7" s="66" t="str">
        <f>IF(OR(Begegnungen!$I$84=C7,Begegnungen!$I$85=C7,Begegnungen!$I$86=C7,Begegnungen!$I$87=C7,Begegnungen!$I$88=C7,Begegnungen!$I$89=C7,Begegnungen!$I$90=C7),Begegnungen!$I$98,IF(OR(Begegnungen!$K$84=C7,Begegnungen!$K$85=C7,Begegnungen!$K$86=C7,Begegnungen!$K$87=C7,Begegnungen!$K$88=C7,Begegnungen!$K$89=C7,Begegnungen!$K$90=C7),Begegnungen!$K$98,""))</f>
        <v>3</v>
      </c>
      <c r="P7" s="66" t="str">
        <f>IF(OR(Begegnungen!$C$101=C7,Begegnungen!$C$102=C7,Begegnungen!$C$103=C7,Begegnungen!$C$104=C7,Begegnungen!$C$105=C7,Begegnungen!$C$106=C7,Begegnungen!$C$107=C7),Begegnungen!$C$114,IF(OR(Begegnungen!$E$101=C7,Begegnungen!$E$102=C7,Begegnungen!$E$103=C7,Begegnungen!$E$104=C7,Begegnungen!$E$105=C7,Begegnungen!$E$106=C7,Begegnungen!$E$107=C7),Begegnungen!$E$114,""))</f>
        <v/>
      </c>
      <c r="Q7" s="66" t="str">
        <f>IF(OR(Begegnungen!$I$101=C7,Begegnungen!$I$102=C7,Begegnungen!$I$103=C7,Begegnungen!$I$104=C7,Begegnungen!$I$105=C7,Begegnungen!$I$106=C7,Begegnungen!$I$107=C7),Begegnungen!$I$114,IF(OR(Begegnungen!$K$101=C7,Begegnungen!$K$102=C7,Begegnungen!$K$103=C7,Begegnungen!$K$104=C7,Begegnungen!$K$105=C7,Begegnungen!$K$106=C7,Begegnungen!$K$107=C7),Begegnungen!$K$114,""))</f>
        <v>0</v>
      </c>
      <c r="R7" s="136" t="str">
        <f>IF(OR(Begegnungen!$C$117=C7,Begegnungen!$C$118=C7,Begegnungen!$C$119=C7,Begegnungen!$C$120=C7,Begegnungen!$C$121=C7,Begegnungen!$C$122=C7,Begegnungen!$C$123=C7),Begegnungen!$C$130,IF(OR(Begegnungen!$E$117=C7,Begegnungen!$E$118=C7,Begegnungen!$E$119=C7,Begegnungen!$E$120=C7,Begegnungen!$E$121=C7,Begegnungen!$E$122=C7,Begegnungen!$E$123=C7),Begegnungen!$E$130,""))</f>
        <v/>
      </c>
      <c r="S7" s="66" t="str">
        <f>IF(OR(Begegnungen!$I$117=C7,Begegnungen!$I$118=C7,Begegnungen!$I$119=C7,Begegnungen!$I$120=C7,Begegnungen!$I$121=C7,Begegnungen!$I$122=C7,Begegnungen!$I$123=C7),Begegnungen!$I$130,IF(OR(Begegnungen!$K$117=C7,Begegnungen!$K$118=C7,Begegnungen!$K$119=C7,Begegnungen!$K$120=C7,Begegnungen!$K$121=C7,Begegnungen!$K$122=C7,Begegnungen!$K$123=C7),Begegnungen!$K$130,""))</f>
        <v>0</v>
      </c>
      <c r="T7" s="66" t="str">
        <f>IF(OR(Begegnungen!$C$133=C7,Begegnungen!$C$134=C7,Begegnungen!$C$135=C7,Begegnungen!$C$136=C7,Begegnungen!$C$137=C7,Begegnungen!$C$138=C7,Begegnungen!$C$139=C7),Begegnungen!$C$146,IF(OR(Begegnungen!$E$133=C7,Begegnungen!$E$134=C7,Begegnungen!$E$135=C7,Begegnungen!$E$136=C7,Begegnungen!$E$137=C7,Begegnungen!$E$138=C7,Begegnungen!$E$139=C7),Begegnungen!$E$146,""))</f>
        <v>3</v>
      </c>
      <c r="U7" s="66" t="str">
        <f>IF(OR(Begegnungen!$I$133=C7,Begegnungen!$I$134=C7,Begegnungen!$I$135=C7,Begegnungen!$I$136=C7,Begegnungen!$I$137=C7,Begegnungen!$I$138=C7,Begegnungen!$I$139=C7),Begegnungen!$I$146,IF(OR(Begegnungen!$K$133=C7,Begegnungen!$K$134=C7,Begegnungen!$K$135=C7,Begegnungen!$K$136=C7,Begegnungen!$K$137=C7,Begegnungen!$K$138=C7,Begegnungen!$K$139=C7),Begegnungen!$K$146,""))</f>
        <v>0</v>
      </c>
      <c r="V7" s="66" t="str">
        <f>IF(OR(Begegnungen!$C$149=C7,Begegnungen!$C$150=C7,Begegnungen!$C$151=C7,Begegnungen!$C$152=C7,Begegnungen!$C$153=C7,Begegnungen!$C$154=C7,Begegnungen!$C$155=C7),Begegnungen!$C$162,IF(OR(Begegnungen!$E$149=C7,Begegnungen!$E$150=C7,Begegnungen!$E$151=C7,Begegnungen!$E$152=C7,Begegnungen!$E$153=C7,Begegnungen!$E$154=C7,Begegnungen!$E$155=C7),Begegnungen!$E$162,""))</f>
        <v>3</v>
      </c>
      <c r="W7" s="66" t="str">
        <f>IF(OR(Begegnungen!$I$149=C7,Begegnungen!$I$150=C7,Begegnungen!$I$151=C7,Begegnungen!$I$152=C7,Begegnungen!$I$153=C7,Begegnungen!$I$154=C7,Begegnungen!$I$155=C7),Begegnungen!$I$162,IF(OR(Begegnungen!$K$149=C7,Begegnungen!$K$150=C7,Begegnungen!$K$151=C7,Begegnungen!$K$152=C7,Begegnungen!$K$153=C7,Begegnungen!$K$154=C7,Begegnungen!$K$155=C7),Begegnungen!$K$162,""))</f>
        <v/>
      </c>
      <c r="X7" s="66" t="str">
        <f>IF(OR(Begegnungen!$C$165=C7,Begegnungen!$C$166=C7,Begegnungen!$C$167=C7,Begegnungen!$C$168=C7,Begegnungen!$C$169=C7,Begegnungen!$C$170=C7,Begegnungen!$C$171=C7),Begegnungen!$C$178,IF(OR(Begegnungen!$E$165=C7,Begegnungen!$E$166=C7,Begegnungen!$E$167=C7,Begegnungen!$E$168=C7,Begegnungen!$E$169=C7,Begegnungen!$E$170=C7,Begegnungen!$E$171=C7),Begegnungen!$E$178,""))</f>
        <v/>
      </c>
      <c r="Y7" s="66" t="str">
        <f>IF(OR(Begegnungen!$I$165=C7,Begegnungen!$I$166=C7,Begegnungen!$I$167=C7,Begegnungen!$I$168=C7,Begegnungen!$I$169=C7,Begegnungen!$I$170=C7,Begegnungen!$I$171=C7),Begegnungen!$I$178,IF(OR(Begegnungen!$K$165=C7,Begegnungen!$K$166=C7,Begegnungen!$K$167=C7,Begegnungen!$K$168=C7,Begegnungen!$K$169=C7,Begegnungen!$K$170=C7,Begegnungen!$K$171=C7),Begegnungen!$K$178,""))</f>
        <v>3</v>
      </c>
      <c r="Z7" s="66" t="str">
        <f>IF(OR(Begegnungen!$C$181=C7,Begegnungen!$C$182=C7,Begegnungen!$C$183=C7,Begegnungen!$C$184=C7,Begegnungen!$C$185=C7,Begegnungen!$C$186=C7,Begegnungen!$C$187=C7),Begegnungen!$C$194,IF(OR(Begegnungen!$E$181=C7,Begegnungen!$E$182=C7,Begegnungen!$E$183=C7,Begegnungen!$E$184=C7,Begegnungen!$E$185=C7,Begegnungen!$E$186=C7,Begegnungen!$E$187=C7),Begegnungen!$E$194,""))</f>
        <v/>
      </c>
      <c r="AA7" s="66" t="str">
        <f>IF(OR(Begegnungen!$I$181=C7,Begegnungen!$I$182=C7,Begegnungen!$I$183=C7,Begegnungen!$I$184=C7,Begegnungen!$I$185=C7,Begegnungen!$I$186=C7,Begegnungen!$I$187=C7),Begegnungen!$I$194,IF(OR(Begegnungen!$K$181=C7,Begegnungen!$K$182=C7,Begegnungen!$K$183=C7,Begegnungen!$K$184=C7,Begegnungen!$K$185=C7,Begegnungen!$K$186=C7,Begegnungen!$K$187=C7),Begegnungen!$K$194,""))</f>
        <v>0</v>
      </c>
      <c r="AB7" s="66" t="str">
        <f>IF(OR(Begegnungen!$C$197=C7,Begegnungen!$C$198=C7,Begegnungen!$C$199=C7,Begegnungen!$C$200=C7,Begegnungen!$C$201=C7,Begegnungen!$C$202=C7,Begegnungen!$C$203=C7),Begegnungen!$C$210,IF(OR(Begegnungen!$E$197=C7,Begegnungen!$E$198=C7,Begegnungen!$E$199=C7,Begegnungen!$E$200=C7,Begegnungen!$E$201=C7,Begegnungen!$E$202=C7,Begegnungen!$E$203=C7),Begegnungen!$E$210,""))</f>
        <v/>
      </c>
      <c r="AC7" s="66" t="str">
        <f>IF(OR(Begegnungen!$I$197=C7,Begegnungen!$I$198=C7,Begegnungen!$I$199=C7,Begegnungen!$I$200=C7,Begegnungen!$I$201=C7,Begegnungen!$I$202=C7,Begegnungen!$I$203=C7),Begegnungen!$I$210,IF(OR(Begegnungen!$K$197=C7,Begegnungen!$K$198=C7,Begegnungen!$K$199=C7,Begegnungen!$K$200=C7,Begegnungen!$K$201=C7,Begegnungen!$K$202=C7,Begegnungen!$K$203=C7),Begegnungen!$K$210,""))</f>
        <v>3</v>
      </c>
      <c r="AD7" s="66" t="str">
        <f>IF(OR(Begegnungen!$C$213=C7,Begegnungen!$C$214=C7,Begegnungen!$C$215=C7,Begegnungen!$C$216=C7,Begegnungen!$C$217=C7,Begegnungen!$C$218=C7,Begegnungen!$C$219=C7),Begegnungen!$C$226,IF(OR(Begegnungen!$E$213=C7,Begegnungen!$E$214=C7,Begegnungen!$E$215=C7,Begegnungen!$E$216=C7,Begegnungen!$E$217=C7,Begegnungen!$E$218=C7,Begegnungen!$E$219=C7),Begegnungen!$E$226,""))</f>
        <v/>
      </c>
      <c r="AE7" s="66" t="str">
        <f>IF(OR(Begegnungen!$I$213=C7,Begegnungen!$I$214=C7,Begegnungen!$I$215=C7,Begegnungen!$I$216=C7,Begegnungen!$I$217=C7,Begegnungen!$I$218=C7,Begegnungen!$I$219=C7),Begegnungen!$I$226,IF(OR(Begegnungen!$K$213=C7,Begegnungen!$K$214=C7,Begegnungen!$K$215=C7,Begegnungen!$K$216=C7,Begegnungen!$K$217=C7,Begegnungen!$K$218=C7,Begegnungen!$K$219=C7),Begegnungen!$K$226,""))</f>
        <v>0</v>
      </c>
      <c r="AF7" s="136" t="str">
        <f>IF(OR(Begegnungen!$C$229=C7,Begegnungen!$C$230=C7,Begegnungen!$C$231=C7,Begegnungen!$C$232=C7,Begegnungen!$C$233=C7,Begegnungen!$C$234=C7,Begegnungen!$C$235=C7),Begegnungen!$C$242,IF(OR(Begegnungen!$E$229=C7,Begegnungen!$E$230=C7,Begegnungen!$E$231=C7,Begegnungen!$E$232=C7,Begegnungen!$E$233=C7,Begegnungen!$E$234=C7,Begegnungen!$E$235=C7),Begegnungen!$E$242,""))</f>
        <v>0</v>
      </c>
      <c r="AG7" s="66" t="str">
        <f>IF(OR(Begegnungen!$I$229=C7,Begegnungen!$I$230=C7,Begegnungen!$I$231=C7,Begegnungen!$I$232=C7,Begegnungen!$I$233=C7,Begegnungen!$I$234=C7,Begegnungen!$I$235=C7),Begegnungen!$I$242,IF(OR(Begegnungen!$K$229=C7,Begegnungen!$K$230=C7,Begegnungen!$K$231=C7,Begegnungen!$K$232=C7,Begegnungen!$K$233=C7,Begegnungen!$K$234=C7,Begegnungen!$K$235=C7),Begegnungen!$K$242,""))</f>
        <v>3</v>
      </c>
      <c r="AH7" s="66" t="str">
        <f>IF(OR(Begegnungen!$C$245=C7,Begegnungen!$C$246=C7,Begegnungen!$C$247=C7,Begegnungen!$C$248=C7,Begegnungen!$C$249=C7,Begegnungen!$C$250=C7,Begegnungen!$C$251=C7),Begegnungen!$C$258,IF(OR(Begegnungen!$E$245=C7,Begegnungen!$E$246=C7,Begegnungen!$E$247=C7,Begegnungen!$E$248=C7,Begegnungen!$E$249=C7,Begegnungen!$E$250=C7,Begegnungen!$E$251=C7),Begegnungen!$E$258,""))</f>
        <v>0</v>
      </c>
      <c r="AI7" s="66" t="str">
        <f>IF(OR(Begegnungen!$I$245=C7,Begegnungen!$I$246=C7,Begegnungen!$I$247=C7,Begegnungen!$I$248=C7,Begegnungen!$I$249=C7,Begegnungen!$I$250=C7,Begegnungen!$I$251=C7),Begegnungen!$I$258,IF(OR(Begegnungen!$K$245=C7,Begegnungen!$K$246=C7,Begegnungen!$K$247=C7,Begegnungen!$K$248=C7,Begegnungen!$K$249=C7,Begegnungen!$K$250=C7,Begegnungen!$K$251=C7),Begegnungen!$K$258,""))</f>
        <v>3</v>
      </c>
      <c r="AJ7" s="66" t="str">
        <f>IF(OR(Begegnungen!$C$261=C7,Begegnungen!$C$262=C7,Begegnungen!$C$263=C7,Begegnungen!$C$264=C7,Begegnungen!$C$265=C7,Begegnungen!$C$266=C7,Begegnungen!$C$267=C7),Begegnungen!$C$274,IF(OR(Begegnungen!$E$261=C7,Begegnungen!$E$262=C7,Begegnungen!$E$263=C7,Begegnungen!$E$264=C7,Begegnungen!$E$265=C7,Begegnungen!$E$266=C7,Begegnungen!$E$267=C7),Begegnungen!$E$274,""))</f>
        <v>3</v>
      </c>
      <c r="AK7" s="66" t="str">
        <f>IF(OR(Begegnungen!$I$261=C7,Begegnungen!$I$262=C7,Begegnungen!$I$263=C7,Begegnungen!$I$264=C7,Begegnungen!$I$265=C7,Begegnungen!$I$266=C7,Begegnungen!$I$267=C7),Begegnungen!$I$274,IF(OR(Begegnungen!$K$261=C7,Begegnungen!$K$262=C7,Begegnungen!$K$263=C7,Begegnungen!$K$264=C7,Begegnungen!$K$265=C7,Begegnungen!$K$266=C7,Begegnungen!$K$267=C7),Begegnungen!$K$274,""))</f>
        <v>1</v>
      </c>
      <c r="AL7" s="66" t="str">
        <f>IF(OR(Begegnungen!$C$277=C7,Begegnungen!$C$278=C7,Begegnungen!$C$279=C7,Begegnungen!$C$280=C7,Begegnungen!$C$281=C7,Begegnungen!$C$282=C7,Begegnungen!$C$283=C7),Begegnungen!$C$290,IF(OR(Begegnungen!$E$277=C7,Begegnungen!$E$278=C7,Begegnungen!$E$279=C7,Begegnungen!$E$280=C7,Begegnungen!$E$281=C7,Begegnungen!$E$282=C7,Begegnungen!$E$283=C7),Begegnungen!$E$290,""))</f>
        <v>0</v>
      </c>
      <c r="AM7" s="136" t="str">
        <f>IF(OR(Begegnungen!$I$277=C7,Begegnungen!$I$278=C7,Begegnungen!$I$279=C7,Begegnungen!$I$280=C7,Begegnungen!$I$281=C7,Begegnungen!$I$282=C7,Begegnungen!$I$283=C7),Begegnungen!$I$290,IF(OR(Begegnungen!$K$277=C7,Begegnungen!$K$278=C7,Begegnungen!$K$279=C7,Begegnungen!$K$280=C7,Begegnungen!$K$281=C7,Begegnungen!$K$282=C7,Begegnungen!$K$283=C7),Begegnungen!$K$290,""))</f>
        <v>0</v>
      </c>
      <c r="AN7" s="66" t="str">
        <f>IF(OR(Begegnungen!$C$293=C7,Begegnungen!$C$294=C7,Begegnungen!$C$295=C7,Begegnungen!$C$296=C7,Begegnungen!$C$297=C7,Begegnungen!$C$298=C7,Begegnungen!$C$299=C7),Begegnungen!$C$306,IF(OR(Begegnungen!$E$293=C7,Begegnungen!$E$294=C7,Begegnungen!$E$295=C7,Begegnungen!$E$296=C7,Begegnungen!$E$297=C7,Begegnungen!$E$298=C7,Begegnungen!$E$299=C7),Begegnungen!$E$306,""))</f>
        <v>0</v>
      </c>
      <c r="AO7" s="136" t="str">
        <f>IF(OR(Begegnungen!$I$293=C7,Begegnungen!$I$294=C7,Begegnungen!$I$295=C7,Begegnungen!$I$296=C7,Begegnungen!$I$297=C7,Begegnungen!$I$298=C7,Begegnungen!$I$299=C7),Begegnungen!$I$306,IF(OR(Begegnungen!$K$293=C7,Begegnungen!$K$294=C7,Begegnungen!$K$295=C7,Begegnungen!$K$296=C7,Begegnungen!$K$297=C7,Begegnungen!$K$298=C7,Begegnungen!$K$299=C7),Begegnungen!$K$306,""))</f>
        <v/>
      </c>
      <c r="AP7" s="136" t="str">
        <f>IF(OR(Begegnungen!$C$309=C7,Begegnungen!$C$310=C7,Begegnungen!$C$311=C7,Begegnungen!$C$312=C7,Begegnungen!$C$313=C7,Begegnungen!$C$314=C7,Begegnungen!$C$315=C7),Begegnungen!$C$322,IF(OR(Begegnungen!$E$309=C7,Begegnungen!$E$310=C7,Begegnungen!$E$311=C7,Begegnungen!$E$312=C7,Begegnungen!$E$313=C7,Begegnungen!$E$314=C7,Begegnungen!$E$315=C7),Begegnungen!$E$322,""))</f>
        <v>3</v>
      </c>
      <c r="AQ7" s="66" t="str">
        <f>IF(OR(Begegnungen!$I$309=C7,Begegnungen!$I$310=C7,Begegnungen!$I$311=C7,Begegnungen!$I$312=C7,Begegnungen!$I$313=C7,Begegnungen!$I$314=C7,Begegnungen!$I$315=C7),Begegnungen!$I$322,IF(OR(Begegnungen!$K$309=C7,Begegnungen!$K$310=C7,Begegnungen!$K$311=C7,Begegnungen!$K$312=C7,Begegnungen!$K$313=C7,Begegnungen!$K$314=C7,Begegnungen!$K$315=C7),Begegnungen!$K$322,""))</f>
        <v>0</v>
      </c>
      <c r="AR7" s="18">
        <f t="shared" ref="AR7:AR22" si="2">AW7*3+AX7</f>
        <v>41</v>
      </c>
      <c r="AS7" s="19">
        <f t="shared" si="0"/>
        <v>30</v>
      </c>
      <c r="AT7" s="22">
        <f>AS7*0.05</f>
        <v>1.5</v>
      </c>
      <c r="AU7" s="23">
        <f t="shared" ref="AU7:AU24" si="3">AR7/AS7+AT7</f>
        <v>2.8666666666666667</v>
      </c>
      <c r="AW7" s="70">
        <f t="shared" ref="AW7:AW23" si="4">COUNTIF(D7:AQ7,3)</f>
        <v>13</v>
      </c>
      <c r="AX7" s="30">
        <f t="shared" ref="AX7:AX23" si="5">COUNTIF(D7:AQ7,1)</f>
        <v>2</v>
      </c>
      <c r="AY7" s="71">
        <f t="shared" ref="AY7:AY23" si="6">COUNTIF(D7:AQ7,0)</f>
        <v>15</v>
      </c>
    </row>
    <row r="8" spans="2:51" x14ac:dyDescent="0.25">
      <c r="B8" s="3">
        <v>3</v>
      </c>
      <c r="C8" s="65" t="s">
        <v>23</v>
      </c>
      <c r="D8" s="66" t="str">
        <f>IF(OR(Begegnungen!$C$3=C8,Begegnungen!$C$4=C8,Begegnungen!$C$5=C8,Begegnungen!$C$6=C8,Begegnungen!$C$7=C8,Begegnungen!$C$8=C8,Begegnungen!$C$9=C8),Begegnungen!$C$16,IF(OR(Begegnungen!$E$3=C8,Begegnungen!$E$4=C8,Begegnungen!$E$5=C8,Begegnungen!$E$6=C8,Begegnungen!$E$7=C8,Begegnungen!$E$8=C8,Begegnungen!$E$9=C8),Begegnungen!$E$16,""))</f>
        <v/>
      </c>
      <c r="E8" s="66" t="str">
        <f>IF(OR(Begegnungen!$I$3=C8,Begegnungen!$I$4=C8,Begegnungen!$I$5=C8,Begegnungen!$I$6=C8,Begegnungen!$I$7=C8,Begegnungen!$I$8=C8,Begegnungen!$I$9=C8),Begegnungen!$I$16,IF(OR(Begegnungen!$K$3=C8,Begegnungen!$K$4=C8,Begegnungen!$K$5=C8,Begegnungen!$K$6=C8,Begegnungen!$K$7=C8,Begegnungen!$K$8=C8,Begegnungen!$K$9=C8),Begegnungen!$K$16,""))</f>
        <v/>
      </c>
      <c r="F8" s="66" t="str">
        <f>IF(OR(Begegnungen!$C$19=C8,Begegnungen!$C$20=C8,Begegnungen!$C$21=C8,Begegnungen!$C$22=C8,Begegnungen!$C$23=C8,Begegnungen!$C$24=C8,Begegnungen!$C$25=C8),Begegnungen!$C$32,IF(OR(Begegnungen!$E$19=C8,Begegnungen!$E$20=C8,Begegnungen!$E$21=C8,Begegnungen!$E$22=C8,Begegnungen!$E$23=C8,Begegnungen!$E$24=C8,Begegnungen!$E$25=C8),Begegnungen!$E$32,""))</f>
        <v/>
      </c>
      <c r="G8" s="66" t="str">
        <f>IF(OR(Begegnungen!$I$19=C8,Begegnungen!$I$20=C8,Begegnungen!$I$21=C8,Begegnungen!$I$22=C8,Begegnungen!$I$23=C8,Begegnungen!$I$24=C8,Begegnungen!$I$25=C8),Begegnungen!$I$32,IF(OR(Begegnungen!$K$19=C8,Begegnungen!$K$20=C8,Begegnungen!$K$21=C8,Begegnungen!$K$22=C8,Begegnungen!$K$23=C8,Begegnungen!$K$24=C8,Begegnungen!$K$25=C8),Begegnungen!$K$32,""))</f>
        <v/>
      </c>
      <c r="H8" s="66" t="str">
        <f>IF(OR(Begegnungen!$C$35=C8,Begegnungen!$C$36=C8,Begegnungen!$C$37=C8,Begegnungen!$C$38=C8,Begegnungen!$C$39=C8,Begegnungen!$C$40=C8,Begegnungen!$C$41=C8),Begegnungen!$C$49,IF(OR(Begegnungen!$E$35=C8,Begegnungen!$E$36=C8,Begegnungen!$E$37=C8,Begegnungen!$E$38=C8,Begegnungen!$E$39=C8,Begegnungen!$E$40=C8,Begegnungen!$E$41=C8),Begegnungen!$E$49,""))</f>
        <v/>
      </c>
      <c r="I8" s="66" t="str">
        <f>IF(OR(Begegnungen!$I$35=C8,Begegnungen!$I$36=C8,Begegnungen!$I$37=C8,Begegnungen!$I$38=C8,Begegnungen!$I$39=C8,Begegnungen!$I$40=C8,Begegnungen!$I$41=C8),Begegnungen!$I$49,IF(OR(Begegnungen!$K$35=C8,Begegnungen!$K$36=C8,Begegnungen!$K$37=C8,Begegnungen!$K$38=C8,Begegnungen!$K$39=C8,Begegnungen!$K$40=C8,Begegnungen!$K$41=C8),Begegnungen!$K$49,""))</f>
        <v/>
      </c>
      <c r="J8" s="66" t="str">
        <f>IF(OR(Begegnungen!$C$52=C8,Begegnungen!$C$53=C8,Begegnungen!$C$54=C8,Begegnungen!$C$55=C8,Begegnungen!$C$56=C8,Begegnungen!$C$57=C8,Begegnungen!$C$58=C8),Begegnungen!$C$65,IF(OR(Begegnungen!$E$52=C8,Begegnungen!$E$53=C8,Begegnungen!$E$54=C8,Begegnungen!$E$55=C8,Begegnungen!$E$56=C8,Begegnungen!$E$57=C8,Begegnungen!$E$58=C8),Begegnungen!$E$65,""))</f>
        <v/>
      </c>
      <c r="K8" s="66" t="str">
        <f>IF(OR(Begegnungen!$I$52=C8,Begegnungen!$I$53=C8,Begegnungen!$I$54=C8,Begegnungen!$I$55=C8,Begegnungen!$I$56=C8,Begegnungen!$I$57=C8,Begegnungen!$I$58=C8),Begegnungen!$I$65,IF(OR(Begegnungen!$K$52=C8,Begegnungen!$K$53=C8,Begegnungen!$K$54=C8,Begegnungen!$K$55=C8,Begegnungen!$K$56=C8,Begegnungen!$K$57=C8,Begegnungen!$K$58=C8),Begegnungen!$K$65,""))</f>
        <v/>
      </c>
      <c r="L8" s="136" t="str">
        <f>IF(OR(Begegnungen!$C$68=C8,Begegnungen!$C$69=C8,Begegnungen!$C$70=C8,Begegnungen!$C$71=C8,Begegnungen!$C$72=C8,Begegnungen!$C$73=C8,Begegnungen!$C$74=C8),Begegnungen!$C$81,IF(OR(Begegnungen!$E$68=C8,Begegnungen!$E$69=C8,Begegnungen!$E$70=C8,Begegnungen!$E$71=C8,Begegnungen!$E$72=C8,Begegnungen!$E$73=C8,Begegnungen!$E$74=C8),Begegnungen!$E$81,""))</f>
        <v/>
      </c>
      <c r="M8" s="66" t="str">
        <f>IF(OR(Begegnungen!$I$68=C8,Begegnungen!$I$69=C8,Begegnungen!$I$70=C8,Begegnungen!$I$71=C8,Begegnungen!$I$72=C8,Begegnungen!$I$73=C8,Begegnungen!$I$74=C8),Begegnungen!$I$81,IF(OR(Begegnungen!$K$68=C8,Begegnungen!$K$69=C8,Begegnungen!$K$70=C8,Begegnungen!$K$71=C8,Begegnungen!$K$72=C8,Begegnungen!$K$73=C8,Begegnungen!$K$74=C8),Begegnungen!$K$81,""))</f>
        <v/>
      </c>
      <c r="N8" s="66" t="str">
        <f>IF(OR(Begegnungen!$C$84=C8,Begegnungen!$C$85=C8,Begegnungen!$C$86=C8,Begegnungen!$C$87=C8,Begegnungen!$C$88=C8,Begegnungen!$C$89=C8,Begegnungen!$C$90=C8),Begegnungen!$C$98,IF(OR(Begegnungen!$E$84=C8,Begegnungen!$E$85=C8,Begegnungen!$E$86=C8,Begegnungen!$E$87=C8,Begegnungen!$E$88=C8,Begegnungen!$E$89=C8,Begegnungen!$E$90=C8),Begegnungen!$E$98,""))</f>
        <v/>
      </c>
      <c r="O8" s="66" t="str">
        <f>IF(OR(Begegnungen!$I$84=C8,Begegnungen!$I$85=C8,Begegnungen!$I$86=C8,Begegnungen!$I$87=C8,Begegnungen!$I$88=C8,Begegnungen!$I$89=C8,Begegnungen!$I$90=C8),Begegnungen!$I$98,IF(OR(Begegnungen!$K$84=C8,Begegnungen!$K$85=C8,Begegnungen!$K$86=C8,Begegnungen!$K$87=C8,Begegnungen!$K$88=C8,Begegnungen!$K$89=C8,Begegnungen!$K$90=C8),Begegnungen!$K$98,""))</f>
        <v/>
      </c>
      <c r="P8" s="66" t="str">
        <f>IF(OR(Begegnungen!$C$101=C8,Begegnungen!$C$102=C8,Begegnungen!$C$103=C8,Begegnungen!$C$104=C8,Begegnungen!$C$105=C8,Begegnungen!$C$106=C8,Begegnungen!$C$107=C8),Begegnungen!$C$114,IF(OR(Begegnungen!$E$101=C8,Begegnungen!$E$102=C8,Begegnungen!$E$103=C8,Begegnungen!$E$104=C8,Begegnungen!$E$105=C8,Begegnungen!$E$106=C8,Begegnungen!$E$107=C8),Begegnungen!$E$114,""))</f>
        <v/>
      </c>
      <c r="Q8" s="66" t="str">
        <f>IF(OR(Begegnungen!$I$101=C8,Begegnungen!$I$102=C8,Begegnungen!$I$103=C8,Begegnungen!$I$104=C8,Begegnungen!$I$105=C8,Begegnungen!$I$106=C8,Begegnungen!$I$107=C8),Begegnungen!$I$114,IF(OR(Begegnungen!$K$101=C8,Begegnungen!$K$102=C8,Begegnungen!$K$103=C8,Begegnungen!$K$104=C8,Begegnungen!$K$105=C8,Begegnungen!$K$106=C8,Begegnungen!$K$107=C8),Begegnungen!$K$114,""))</f>
        <v/>
      </c>
      <c r="R8" s="136" t="str">
        <f>IF(OR(Begegnungen!$C$117=C8,Begegnungen!$C$118=C8,Begegnungen!$C$119=C8,Begegnungen!$C$120=C8,Begegnungen!$C$121=C8,Begegnungen!$C$122=C8,Begegnungen!$C$123=C8),Begegnungen!$C$130,IF(OR(Begegnungen!$E$117=C8,Begegnungen!$E$118=C8,Begegnungen!$E$119=C8,Begegnungen!$E$120=C8,Begegnungen!$E$121=C8,Begegnungen!$E$122=C8,Begegnungen!$E$123=C8),Begegnungen!$E$130,""))</f>
        <v/>
      </c>
      <c r="S8" s="66" t="str">
        <f>IF(OR(Begegnungen!$I$117=C8,Begegnungen!$I$118=C8,Begegnungen!$I$119=C8,Begegnungen!$I$120=C8,Begegnungen!$I$121=C8,Begegnungen!$I$122=C8,Begegnungen!$I$123=C8),Begegnungen!$I$130,IF(OR(Begegnungen!$K$117=C8,Begegnungen!$K$118=C8,Begegnungen!$K$119=C8,Begegnungen!$K$120=C8,Begegnungen!$K$121=C8,Begegnungen!$K$122=C8,Begegnungen!$K$123=C8),Begegnungen!$K$130,""))</f>
        <v/>
      </c>
      <c r="T8" s="66" t="str">
        <f>IF(OR(Begegnungen!$C$133=C8,Begegnungen!$C$134=C8,Begegnungen!$C$135=C8,Begegnungen!$C$136=C8,Begegnungen!$C$137=C8,Begegnungen!$C$138=C8,Begegnungen!$C$139=C8),Begegnungen!$C$146,IF(OR(Begegnungen!$E$133=C8,Begegnungen!$E$134=C8,Begegnungen!$E$135=C8,Begegnungen!$E$136=C8,Begegnungen!$E$137=C8,Begegnungen!$E$138=C8,Begegnungen!$E$139=C8),Begegnungen!$E$146,""))</f>
        <v/>
      </c>
      <c r="U8" s="66" t="str">
        <f>IF(OR(Begegnungen!$I$133=C8,Begegnungen!$I$134=C8,Begegnungen!$I$135=C8,Begegnungen!$I$136=C8,Begegnungen!$I$137=C8,Begegnungen!$I$138=C8,Begegnungen!$I$139=C8),Begegnungen!$I$146,IF(OR(Begegnungen!$K$133=C8,Begegnungen!$K$134=C8,Begegnungen!$K$135=C8,Begegnungen!$K$136=C8,Begegnungen!$K$137=C8,Begegnungen!$K$138=C8,Begegnungen!$K$139=C8),Begegnungen!$K$146,""))</f>
        <v/>
      </c>
      <c r="V8" s="66" t="str">
        <f>IF(OR(Begegnungen!$C$149=C8,Begegnungen!$C$150=C8,Begegnungen!$C$151=C8,Begegnungen!$C$152=C8,Begegnungen!$C$153=C8,Begegnungen!$C$154=C8,Begegnungen!$C$155=C8),Begegnungen!$C$162,IF(OR(Begegnungen!$E$149=C8,Begegnungen!$E$150=C8,Begegnungen!$E$151=C8,Begegnungen!$E$152=C8,Begegnungen!$E$153=C8,Begegnungen!$E$154=C8,Begegnungen!$E$155=C8),Begegnungen!$E$162,""))</f>
        <v/>
      </c>
      <c r="W8" s="66" t="str">
        <f>IF(OR(Begegnungen!$I$149=C8,Begegnungen!$I$150=C8,Begegnungen!$I$151=C8,Begegnungen!$I$152=C8,Begegnungen!$I$153=C8,Begegnungen!$I$154=C8,Begegnungen!$I$155=C8),Begegnungen!$I$162,IF(OR(Begegnungen!$K$149=C8,Begegnungen!$K$150=C8,Begegnungen!$K$151=C8,Begegnungen!$K$152=C8,Begegnungen!$K$153=C8,Begegnungen!$K$154=C8,Begegnungen!$K$155=C8),Begegnungen!$K$162,""))</f>
        <v/>
      </c>
      <c r="X8" s="66" t="str">
        <f>IF(OR(Begegnungen!$C$165=C8,Begegnungen!$C$166=C8,Begegnungen!$C$167=C8,Begegnungen!$C$168=C8,Begegnungen!$C$169=C8,Begegnungen!$C$170=C8,Begegnungen!$C$171=C8),Begegnungen!$C$178,IF(OR(Begegnungen!$E$165=C8,Begegnungen!$E$166=C8,Begegnungen!$E$167=C8,Begegnungen!$E$168=C8,Begegnungen!$E$169=C8,Begegnungen!$E$170=C8,Begegnungen!$E$171=C8),Begegnungen!$E$178,""))</f>
        <v/>
      </c>
      <c r="Y8" s="66" t="str">
        <f>IF(OR(Begegnungen!$I$165=C8,Begegnungen!$I$166=C8,Begegnungen!$I$167=C8,Begegnungen!$I$168=C8,Begegnungen!$I$169=C8,Begegnungen!$I$170=C8,Begegnungen!$I$171=C8),Begegnungen!$I$178,IF(OR(Begegnungen!$K$165=C8,Begegnungen!$K$166=C8,Begegnungen!$K$167=C8,Begegnungen!$K$168=C8,Begegnungen!$K$169=C8,Begegnungen!$K$170=C8,Begegnungen!$K$171=C8),Begegnungen!$K$178,""))</f>
        <v/>
      </c>
      <c r="Z8" s="66" t="str">
        <f>IF(OR(Begegnungen!$C$181=C8,Begegnungen!$C$182=C8,Begegnungen!$C$183=C8,Begegnungen!$C$184=C8,Begegnungen!$C$185=C8,Begegnungen!$C$186=C8,Begegnungen!$C$187=C8),Begegnungen!$C$194,IF(OR(Begegnungen!$E$181=C8,Begegnungen!$E$182=C8,Begegnungen!$E$183=C8,Begegnungen!$E$184=C8,Begegnungen!$E$185=C8,Begegnungen!$E$186=C8,Begegnungen!$E$187=C8),Begegnungen!$E$194,""))</f>
        <v/>
      </c>
      <c r="AA8" s="66" t="str">
        <f>IF(OR(Begegnungen!$I$181=C8,Begegnungen!$I$182=C8,Begegnungen!$I$183=C8,Begegnungen!$I$184=C8,Begegnungen!$I$185=C8,Begegnungen!$I$186=C8,Begegnungen!$I$187=C8),Begegnungen!$I$194,IF(OR(Begegnungen!$K$181=C8,Begegnungen!$K$182=C8,Begegnungen!$K$183=C8,Begegnungen!$K$184=C8,Begegnungen!$K$185=C8,Begegnungen!$K$186=C8,Begegnungen!$K$187=C8),Begegnungen!$K$194,""))</f>
        <v/>
      </c>
      <c r="AB8" s="66" t="str">
        <f>IF(OR(Begegnungen!$C$197=C8,Begegnungen!$C$198=C8,Begegnungen!$C$199=C8,Begegnungen!$C$200=C8,Begegnungen!$C$201=C8,Begegnungen!$C$202=C8,Begegnungen!$C$203=C8),Begegnungen!$C$210,IF(OR(Begegnungen!$E$197=C8,Begegnungen!$E$198=C8,Begegnungen!$E$199=C8,Begegnungen!$E$200=C8,Begegnungen!$E$201=C8,Begegnungen!$E$202=C8,Begegnungen!$E$203=C8),Begegnungen!$E$210,""))</f>
        <v/>
      </c>
      <c r="AC8" s="66" t="str">
        <f>IF(OR(Begegnungen!$I$197=C8,Begegnungen!$I$198=C8,Begegnungen!$I$199=C8,Begegnungen!$I$200=C8,Begegnungen!$I$201=C8,Begegnungen!$I$202=C8,Begegnungen!$I$203=C8),Begegnungen!$I$210,IF(OR(Begegnungen!$K$197=C8,Begegnungen!$K$198=C8,Begegnungen!$K$199=C8,Begegnungen!$K$200=C8,Begegnungen!$K$201=C8,Begegnungen!$K$202=C8,Begegnungen!$K$203=C8),Begegnungen!$K$210,""))</f>
        <v/>
      </c>
      <c r="AD8" s="66" t="str">
        <f>IF(OR(Begegnungen!$C$213=C8,Begegnungen!$C$214=C8,Begegnungen!$C$215=C8,Begegnungen!$C$216=C8,Begegnungen!$C$217=C8,Begegnungen!$C$218=C8,Begegnungen!$C$219=C8),Begegnungen!$C$226,IF(OR(Begegnungen!$E$213=C8,Begegnungen!$E$214=C8,Begegnungen!$E$215=C8,Begegnungen!$E$216=C8,Begegnungen!$E$217=C8,Begegnungen!$E$218=C8,Begegnungen!$E$219=C8),Begegnungen!$E$226,""))</f>
        <v/>
      </c>
      <c r="AE8" s="66" t="str">
        <f>IF(OR(Begegnungen!$I$213=C8,Begegnungen!$I$214=C8,Begegnungen!$I$215=C8,Begegnungen!$I$216=C8,Begegnungen!$I$217=C8,Begegnungen!$I$218=C8,Begegnungen!$I$219=C8),Begegnungen!$I$226,IF(OR(Begegnungen!$K$213=C8,Begegnungen!$K$214=C8,Begegnungen!$K$215=C8,Begegnungen!$K$216=C8,Begegnungen!$K$217=C8,Begegnungen!$K$218=C8,Begegnungen!$K$219=C8),Begegnungen!$K$226,""))</f>
        <v/>
      </c>
      <c r="AF8" s="136" t="str">
        <f>IF(OR(Begegnungen!$C$229=C8,Begegnungen!$C$230=C8,Begegnungen!$C$231=C8,Begegnungen!$C$232=C8,Begegnungen!$C$233=C8,Begegnungen!$C$234=C8,Begegnungen!$C$235=C8),Begegnungen!$C$242,IF(OR(Begegnungen!$E$229=C8,Begegnungen!$E$230=C8,Begegnungen!$E$231=C8,Begegnungen!$E$232=C8,Begegnungen!$E$233=C8,Begegnungen!$E$234=C8,Begegnungen!$E$235=C8),Begegnungen!$E$242,""))</f>
        <v/>
      </c>
      <c r="AG8" s="66" t="str">
        <f>IF(OR(Begegnungen!$I$229=C8,Begegnungen!$I$230=C8,Begegnungen!$I$231=C8,Begegnungen!$I$232=C8,Begegnungen!$I$233=C8,Begegnungen!$I$234=C8,Begegnungen!$I$235=C8),Begegnungen!$I$242,IF(OR(Begegnungen!$K$229=C8,Begegnungen!$K$230=C8,Begegnungen!$K$231=C8,Begegnungen!$K$232=C8,Begegnungen!$K$233=C8,Begegnungen!$K$234=C8,Begegnungen!$K$235=C8),Begegnungen!$K$242,""))</f>
        <v/>
      </c>
      <c r="AH8" s="66" t="str">
        <f>IF(OR(Begegnungen!$C$245=C8,Begegnungen!$C$246=C8,Begegnungen!$C$247=C8,Begegnungen!$C$248=C8,Begegnungen!$C$249=C8,Begegnungen!$C$250=C8,Begegnungen!$C$251=C8),Begegnungen!$C$258,IF(OR(Begegnungen!$E$245=C8,Begegnungen!$E$246=C8,Begegnungen!$E$247=C8,Begegnungen!$E$248=C8,Begegnungen!$E$249=C8,Begegnungen!$E$250=C8,Begegnungen!$E$251=C8),Begegnungen!$E$258,""))</f>
        <v/>
      </c>
      <c r="AI8" s="66" t="str">
        <f>IF(OR(Begegnungen!$I$245=C8,Begegnungen!$I$246=C8,Begegnungen!$I$247=C8,Begegnungen!$I$248=C8,Begegnungen!$I$249=C8,Begegnungen!$I$250=C8,Begegnungen!$I$251=C8),Begegnungen!$I$258,IF(OR(Begegnungen!$K$245=C8,Begegnungen!$K$246=C8,Begegnungen!$K$247=C8,Begegnungen!$K$248=C8,Begegnungen!$K$249=C8,Begegnungen!$K$250=C8,Begegnungen!$K$251=C8),Begegnungen!$K$258,""))</f>
        <v/>
      </c>
      <c r="AJ8" s="66" t="str">
        <f>IF(OR(Begegnungen!$C$261=C8,Begegnungen!$C$262=C8,Begegnungen!$C$263=C8,Begegnungen!$C$264=C8,Begegnungen!$C$265=C8,Begegnungen!$C$266=C8,Begegnungen!$C$267=C8),Begegnungen!$C$274,IF(OR(Begegnungen!$E$261=C8,Begegnungen!$E$262=C8,Begegnungen!$E$263=C8,Begegnungen!$E$264=C8,Begegnungen!$E$265=C8,Begegnungen!$E$266=C8,Begegnungen!$E$267=C8),Begegnungen!$E$274,""))</f>
        <v/>
      </c>
      <c r="AK8" s="66" t="str">
        <f>IF(OR(Begegnungen!$I$261=C8,Begegnungen!$I$262=C8,Begegnungen!$I$263=C8,Begegnungen!$I$264=C8,Begegnungen!$I$265=C8,Begegnungen!$I$266=C8,Begegnungen!$I$267=C8),Begegnungen!$I$274,IF(OR(Begegnungen!$K$261=C8,Begegnungen!$K$262=C8,Begegnungen!$K$263=C8,Begegnungen!$K$264=C8,Begegnungen!$K$265=C8,Begegnungen!$K$266=C8,Begegnungen!$K$267=C8),Begegnungen!$K$274,""))</f>
        <v/>
      </c>
      <c r="AL8" s="66" t="str">
        <f>IF(OR(Begegnungen!$C$277=C8,Begegnungen!$C$278=C8,Begegnungen!$C$279=C8,Begegnungen!$C$280=C8,Begegnungen!$C$281=C8,Begegnungen!$C$282=C8,Begegnungen!$C$283=C8),Begegnungen!$C$290,IF(OR(Begegnungen!$E$277=C8,Begegnungen!$E$278=C8,Begegnungen!$E$279=C8,Begegnungen!$E$280=C8,Begegnungen!$E$281=C8,Begegnungen!$E$282=C8,Begegnungen!$E$283=C8),Begegnungen!$E$290,""))</f>
        <v/>
      </c>
      <c r="AM8" s="136" t="str">
        <f>IF(OR(Begegnungen!$I$277=C8,Begegnungen!$I$278=C8,Begegnungen!$I$279=C8,Begegnungen!$I$280=C8,Begegnungen!$I$281=C8,Begegnungen!$I$282=C8,Begegnungen!$I$283=C8),Begegnungen!$I$290,IF(OR(Begegnungen!$K$277=C8,Begegnungen!$K$278=C8,Begegnungen!$K$279=C8,Begegnungen!$K$280=C8,Begegnungen!$K$281=C8,Begegnungen!$K$282=C8,Begegnungen!$K$283=C8),Begegnungen!$K$290,""))</f>
        <v/>
      </c>
      <c r="AN8" s="66" t="str">
        <f>IF(OR(Begegnungen!$C$293=C8,Begegnungen!$C$294=C8,Begegnungen!$C$295=C8,Begegnungen!$C$296=C8,Begegnungen!$C$297=C8,Begegnungen!$C$298=C8,Begegnungen!$C$299=C8),Begegnungen!$C$306,IF(OR(Begegnungen!$E$293=C8,Begegnungen!$E$294=C8,Begegnungen!$E$295=C8,Begegnungen!$E$296=C8,Begegnungen!$E$297=C8,Begegnungen!$E$298=C8,Begegnungen!$E$299=C8),Begegnungen!$E$306,""))</f>
        <v/>
      </c>
      <c r="AO8" s="136" t="str">
        <f>IF(OR(Begegnungen!$I$293=C8,Begegnungen!$I$294=C8,Begegnungen!$I$295=C8,Begegnungen!$I$296=C8,Begegnungen!$I$297=C8,Begegnungen!$I$298=C8,Begegnungen!$I$299=C8),Begegnungen!$I$306,IF(OR(Begegnungen!$K$293=C8,Begegnungen!$K$294=C8,Begegnungen!$K$295=C8,Begegnungen!$K$296=C8,Begegnungen!$K$297=C8,Begegnungen!$K$298=C8,Begegnungen!$K$299=C8),Begegnungen!$K$306,""))</f>
        <v/>
      </c>
      <c r="AP8" s="136" t="str">
        <f>IF(OR(Begegnungen!$C$309=C8,Begegnungen!$C$310=C8,Begegnungen!$C$311=C8,Begegnungen!$C$312=C8,Begegnungen!$C$313=C8,Begegnungen!$C$314=C8,Begegnungen!$C$315=C8),Begegnungen!$C$322,IF(OR(Begegnungen!$E$309=C8,Begegnungen!$E$310=C8,Begegnungen!$E$311=C8,Begegnungen!$E$312=C8,Begegnungen!$E$313=C8,Begegnungen!$E$314=C8,Begegnungen!$E$315=C8),Begegnungen!$E$322,""))</f>
        <v/>
      </c>
      <c r="AQ8" s="66" t="str">
        <f>IF(OR(Begegnungen!$I$309=C8,Begegnungen!$I$310=C8,Begegnungen!$I$311=C8,Begegnungen!$I$312=C8,Begegnungen!$I$313=C8,Begegnungen!$I$314=C8,Begegnungen!$I$315=C8),Begegnungen!$I$322,IF(OR(Begegnungen!$K$309=C8,Begegnungen!$K$310=C8,Begegnungen!$K$311=C8,Begegnungen!$K$312=C8,Begegnungen!$K$313=C8,Begegnungen!$K$314=C8,Begegnungen!$K$315=C8),Begegnungen!$K$322,""))</f>
        <v/>
      </c>
      <c r="AR8" s="18">
        <f t="shared" si="2"/>
        <v>0</v>
      </c>
      <c r="AS8" s="19">
        <f t="shared" si="0"/>
        <v>0</v>
      </c>
      <c r="AT8" s="22">
        <f t="shared" si="1"/>
        <v>0</v>
      </c>
      <c r="AU8" s="23" t="e">
        <f t="shared" si="3"/>
        <v>#DIV/0!</v>
      </c>
      <c r="AW8" s="70">
        <f t="shared" si="4"/>
        <v>0</v>
      </c>
      <c r="AX8" s="30">
        <f t="shared" si="5"/>
        <v>0</v>
      </c>
      <c r="AY8" s="71">
        <f t="shared" si="6"/>
        <v>0</v>
      </c>
    </row>
    <row r="9" spans="2:51" x14ac:dyDescent="0.25">
      <c r="B9" s="3">
        <v>4</v>
      </c>
      <c r="C9" s="65" t="s">
        <v>14</v>
      </c>
      <c r="D9" s="66" t="str">
        <f>IF(OR(Begegnungen!$C$3=C9,Begegnungen!$C$4=C9,Begegnungen!$C$5=C9,Begegnungen!$C$6=C9,Begegnungen!$C$7=C9,Begegnungen!$C$8=C9,Begegnungen!$C$9=C9),Begegnungen!$C$16,IF(OR(Begegnungen!$E$3=C9,Begegnungen!$E$4=C9,Begegnungen!$E$5=C9,Begegnungen!$E$6=C9,Begegnungen!$E$7=C9,Begegnungen!$E$8=C9,Begegnungen!$E$9=C9),Begegnungen!$E$16,""))</f>
        <v>1</v>
      </c>
      <c r="E9" s="66" t="str">
        <f>IF(OR(Begegnungen!$I$3=C9,Begegnungen!$I$4=C9,Begegnungen!$I$5=C9,Begegnungen!$I$6=C9,Begegnungen!$I$7=C9,Begegnungen!$I$8=C9,Begegnungen!$I$9=C9),Begegnungen!$I$16,IF(OR(Begegnungen!$K$3=C9,Begegnungen!$K$4=C9,Begegnungen!$K$5=C9,Begegnungen!$K$6=C9,Begegnungen!$K$7=C9,Begegnungen!$K$8=C9,Begegnungen!$K$9=C9),Begegnungen!$K$16,""))</f>
        <v/>
      </c>
      <c r="F9" s="66" t="str">
        <f>IF(OR(Begegnungen!$C$19=C9,Begegnungen!$C$20=C9,Begegnungen!$C$21=C9,Begegnungen!$C$22=C9,Begegnungen!$C$23=C9,Begegnungen!$C$24=C9,Begegnungen!$C$25=C9),Begegnungen!$C$32,IF(OR(Begegnungen!$E$19=C9,Begegnungen!$E$20=C9,Begegnungen!$E$21=C9,Begegnungen!$E$22=C9,Begegnungen!$E$23=C9,Begegnungen!$E$24=C9,Begegnungen!$E$25=C9),Begegnungen!$E$32,""))</f>
        <v/>
      </c>
      <c r="G9" s="66" t="str">
        <f>IF(OR(Begegnungen!$I$19=C9,Begegnungen!$I$20=C9,Begegnungen!$I$21=C9,Begegnungen!$I$22=C9,Begegnungen!$I$23=C9,Begegnungen!$I$24=C9,Begegnungen!$I$25=C9),Begegnungen!$I$32,IF(OR(Begegnungen!$K$19=C9,Begegnungen!$K$20=C9,Begegnungen!$K$21=C9,Begegnungen!$K$22=C9,Begegnungen!$K$23=C9,Begegnungen!$K$24=C9,Begegnungen!$K$25=C9),Begegnungen!$K$32,""))</f>
        <v/>
      </c>
      <c r="H9" s="66" t="str">
        <f>IF(OR(Begegnungen!$C$35=C9,Begegnungen!$C$36=C9,Begegnungen!$C$37=C9,Begegnungen!$C$38=C9,Begegnungen!$C$39=C9,Begegnungen!$C$40=C9,Begegnungen!$C$41=C9),Begegnungen!$C$49,IF(OR(Begegnungen!$E$35=C9,Begegnungen!$E$36=C9,Begegnungen!$E$37=C9,Begegnungen!$E$38=C9,Begegnungen!$E$39=C9,Begegnungen!$E$40=C9,Begegnungen!$E$41=C9),Begegnungen!$E$49,""))</f>
        <v/>
      </c>
      <c r="I9" s="66" t="str">
        <f>IF(OR(Begegnungen!$I$35=C9,Begegnungen!$I$36=C9,Begegnungen!$I$37=C9,Begegnungen!$I$38=C9,Begegnungen!$I$39=C9,Begegnungen!$I$40=C9,Begegnungen!$I$41=C9),Begegnungen!$I$49,IF(OR(Begegnungen!$K$35=C9,Begegnungen!$K$36=C9,Begegnungen!$K$37=C9,Begegnungen!$K$38=C9,Begegnungen!$K$39=C9,Begegnungen!$K$40=C9,Begegnungen!$K$41=C9),Begegnungen!$K$49,""))</f>
        <v/>
      </c>
      <c r="J9" s="66" t="str">
        <f>IF(OR(Begegnungen!$C$52=C9,Begegnungen!$C$53=C9,Begegnungen!$C$54=C9,Begegnungen!$C$55=C9,Begegnungen!$C$56=C9,Begegnungen!$C$57=C9,Begegnungen!$C$58=C9),Begegnungen!$C$65,IF(OR(Begegnungen!$E$52=C9,Begegnungen!$E$53=C9,Begegnungen!$E$54=C9,Begegnungen!$E$55=C9,Begegnungen!$E$56=C9,Begegnungen!$E$57=C9,Begegnungen!$E$58=C9),Begegnungen!$E$65,""))</f>
        <v/>
      </c>
      <c r="K9" s="66" t="str">
        <f>IF(OR(Begegnungen!$I$52=C9,Begegnungen!$I$53=C9,Begegnungen!$I$54=C9,Begegnungen!$I$55=C9,Begegnungen!$I$56=C9,Begegnungen!$I$57=C9,Begegnungen!$I$58=C9),Begegnungen!$I$65,IF(OR(Begegnungen!$K$52=C9,Begegnungen!$K$53=C9,Begegnungen!$K$54=C9,Begegnungen!$K$55=C9,Begegnungen!$K$56=C9,Begegnungen!$K$57=C9,Begegnungen!$K$58=C9),Begegnungen!$K$65,""))</f>
        <v/>
      </c>
      <c r="L9" s="136" t="str">
        <f>IF(OR(Begegnungen!$C$68=C9,Begegnungen!$C$69=C9,Begegnungen!$C$70=C9,Begegnungen!$C$71=C9,Begegnungen!$C$72=C9,Begegnungen!$C$73=C9,Begegnungen!$C$74=C9),Begegnungen!$C$81,IF(OR(Begegnungen!$E$68=C9,Begegnungen!$E$69=C9,Begegnungen!$E$70=C9,Begegnungen!$E$71=C9,Begegnungen!$E$72=C9,Begegnungen!$E$73=C9,Begegnungen!$E$74=C9),Begegnungen!$E$81,""))</f>
        <v/>
      </c>
      <c r="M9" s="66" t="str">
        <f>IF(OR(Begegnungen!$I$68=C9,Begegnungen!$I$69=C9,Begegnungen!$I$70=C9,Begegnungen!$I$71=C9,Begegnungen!$I$72=C9,Begegnungen!$I$73=C9,Begegnungen!$I$74=C9),Begegnungen!$I$81,IF(OR(Begegnungen!$K$68=C9,Begegnungen!$K$69=C9,Begegnungen!$K$70=C9,Begegnungen!$K$71=C9,Begegnungen!$K$72=C9,Begegnungen!$K$73=C9,Begegnungen!$K$74=C9),Begegnungen!$K$81,""))</f>
        <v/>
      </c>
      <c r="N9" s="66" t="str">
        <f>IF(OR(Begegnungen!$C$84=C9,Begegnungen!$C$85=C9,Begegnungen!$C$86=C9,Begegnungen!$C$87=C9,Begegnungen!$C$88=C9,Begegnungen!$C$89=C9,Begegnungen!$C$90=C9),Begegnungen!$C$98,IF(OR(Begegnungen!$E$84=C9,Begegnungen!$E$85=C9,Begegnungen!$E$86=C9,Begegnungen!$E$87=C9,Begegnungen!$E$88=C9,Begegnungen!$E$89=C9,Begegnungen!$E$90=C9),Begegnungen!$E$98,""))</f>
        <v/>
      </c>
      <c r="O9" s="66" t="str">
        <f>IF(OR(Begegnungen!$I$84=C9,Begegnungen!$I$85=C9,Begegnungen!$I$86=C9,Begegnungen!$I$87=C9,Begegnungen!$I$88=C9,Begegnungen!$I$89=C9,Begegnungen!$I$90=C9),Begegnungen!$I$98,IF(OR(Begegnungen!$K$84=C9,Begegnungen!$K$85=C9,Begegnungen!$K$86=C9,Begegnungen!$K$87=C9,Begegnungen!$K$88=C9,Begegnungen!$K$89=C9,Begegnungen!$K$90=C9),Begegnungen!$K$98,""))</f>
        <v>0</v>
      </c>
      <c r="P9" s="66" t="str">
        <f>IF(OR(Begegnungen!$C$101=C9,Begegnungen!$C$102=C9,Begegnungen!$C$103=C9,Begegnungen!$C$104=C9,Begegnungen!$C$105=C9,Begegnungen!$C$106=C9,Begegnungen!$C$107=C9),Begegnungen!$C$114,IF(OR(Begegnungen!$E$101=C9,Begegnungen!$E$102=C9,Begegnungen!$E$103=C9,Begegnungen!$E$104=C9,Begegnungen!$E$105=C9,Begegnungen!$E$106=C9,Begegnungen!$E$107=C9),Begegnungen!$E$114,""))</f>
        <v/>
      </c>
      <c r="Q9" s="66" t="str">
        <f>IF(OR(Begegnungen!$I$101=C9,Begegnungen!$I$102=C9,Begegnungen!$I$103=C9,Begegnungen!$I$104=C9,Begegnungen!$I$105=C9,Begegnungen!$I$106=C9,Begegnungen!$I$107=C9),Begegnungen!$I$114,IF(OR(Begegnungen!$K$101=C9,Begegnungen!$K$102=C9,Begegnungen!$K$103=C9,Begegnungen!$K$104=C9,Begegnungen!$K$105=C9,Begegnungen!$K$106=C9,Begegnungen!$K$107=C9),Begegnungen!$K$114,""))</f>
        <v/>
      </c>
      <c r="R9" s="136" t="str">
        <f>IF(OR(Begegnungen!$C$117=C9,Begegnungen!$C$118=C9,Begegnungen!$C$119=C9,Begegnungen!$C$120=C9,Begegnungen!$C$121=C9,Begegnungen!$C$122=C9,Begegnungen!$C$123=C9),Begegnungen!$C$130,IF(OR(Begegnungen!$E$117=C9,Begegnungen!$E$118=C9,Begegnungen!$E$119=C9,Begegnungen!$E$120=C9,Begegnungen!$E$121=C9,Begegnungen!$E$122=C9,Begegnungen!$E$123=C9),Begegnungen!$E$130,""))</f>
        <v>0</v>
      </c>
      <c r="S9" s="66" t="str">
        <f>IF(OR(Begegnungen!$I$117=C9,Begegnungen!$I$118=C9,Begegnungen!$I$119=C9,Begegnungen!$I$120=C9,Begegnungen!$I$121=C9,Begegnungen!$I$122=C9,Begegnungen!$I$123=C9),Begegnungen!$I$130,IF(OR(Begegnungen!$K$117=C9,Begegnungen!$K$118=C9,Begegnungen!$K$119=C9,Begegnungen!$K$120=C9,Begegnungen!$K$121=C9,Begegnungen!$K$122=C9,Begegnungen!$K$123=C9),Begegnungen!$K$130,""))</f>
        <v>3</v>
      </c>
      <c r="T9" s="66" t="str">
        <f>IF(OR(Begegnungen!$C$133=C9,Begegnungen!$C$134=C9,Begegnungen!$C$135=C9,Begegnungen!$C$136=C9,Begegnungen!$C$137=C9,Begegnungen!$C$138=C9,Begegnungen!$C$139=C9),Begegnungen!$C$146,IF(OR(Begegnungen!$E$133=C9,Begegnungen!$E$134=C9,Begegnungen!$E$135=C9,Begegnungen!$E$136=C9,Begegnungen!$E$137=C9,Begegnungen!$E$138=C9,Begegnungen!$E$139=C9),Begegnungen!$E$146,""))</f>
        <v>3</v>
      </c>
      <c r="U9" s="66" t="str">
        <f>IF(OR(Begegnungen!$I$133=C9,Begegnungen!$I$134=C9,Begegnungen!$I$135=C9,Begegnungen!$I$136=C9,Begegnungen!$I$137=C9,Begegnungen!$I$138=C9,Begegnungen!$I$139=C9),Begegnungen!$I$146,IF(OR(Begegnungen!$K$133=C9,Begegnungen!$K$134=C9,Begegnungen!$K$135=C9,Begegnungen!$K$136=C9,Begegnungen!$K$137=C9,Begegnungen!$K$138=C9,Begegnungen!$K$139=C9),Begegnungen!$K$146,""))</f>
        <v/>
      </c>
      <c r="V9" s="66" t="str">
        <f>IF(OR(Begegnungen!$C$149=C9,Begegnungen!$C$150=C9,Begegnungen!$C$151=C9,Begegnungen!$C$152=C9,Begegnungen!$C$153=C9,Begegnungen!$C$154=C9,Begegnungen!$C$155=C9),Begegnungen!$C$162,IF(OR(Begegnungen!$E$149=C9,Begegnungen!$E$150=C9,Begegnungen!$E$151=C9,Begegnungen!$E$152=C9,Begegnungen!$E$153=C9,Begegnungen!$E$154=C9,Begegnungen!$E$155=C9),Begegnungen!$E$162,""))</f>
        <v>0</v>
      </c>
      <c r="W9" s="66" t="str">
        <f>IF(OR(Begegnungen!$I$149=C9,Begegnungen!$I$150=C9,Begegnungen!$I$151=C9,Begegnungen!$I$152=C9,Begegnungen!$I$153=C9,Begegnungen!$I$154=C9,Begegnungen!$I$155=C9),Begegnungen!$I$162,IF(OR(Begegnungen!$K$149=C9,Begegnungen!$K$150=C9,Begegnungen!$K$151=C9,Begegnungen!$K$152=C9,Begegnungen!$K$153=C9,Begegnungen!$K$154=C9,Begegnungen!$K$155=C9),Begegnungen!$K$162,""))</f>
        <v/>
      </c>
      <c r="X9" s="66" t="str">
        <f>IF(OR(Begegnungen!$C$165=C9,Begegnungen!$C$166=C9,Begegnungen!$C$167=C9,Begegnungen!$C$168=C9,Begegnungen!$C$169=C9,Begegnungen!$C$170=C9,Begegnungen!$C$171=C9),Begegnungen!$C$178,IF(OR(Begegnungen!$E$165=C9,Begegnungen!$E$166=C9,Begegnungen!$E$167=C9,Begegnungen!$E$168=C9,Begegnungen!$E$169=C9,Begegnungen!$E$170=C9,Begegnungen!$E$171=C9),Begegnungen!$E$178,""))</f>
        <v/>
      </c>
      <c r="Y9" s="66" t="str">
        <f>IF(OR(Begegnungen!$I$165=C9,Begegnungen!$I$166=C9,Begegnungen!$I$167=C9,Begegnungen!$I$168=C9,Begegnungen!$I$169=C9,Begegnungen!$I$170=C9,Begegnungen!$I$171=C9),Begegnungen!$I$178,IF(OR(Begegnungen!$K$165=C9,Begegnungen!$K$166=C9,Begegnungen!$K$167=C9,Begegnungen!$K$168=C9,Begegnungen!$K$169=C9,Begegnungen!$K$170=C9,Begegnungen!$K$171=C9),Begegnungen!$K$178,""))</f>
        <v>0</v>
      </c>
      <c r="Z9" s="66" t="str">
        <f>IF(OR(Begegnungen!$C$181=C9,Begegnungen!$C$182=C9,Begegnungen!$C$183=C9,Begegnungen!$C$184=C9,Begegnungen!$C$185=C9,Begegnungen!$C$186=C9,Begegnungen!$C$187=C9),Begegnungen!$C$194,IF(OR(Begegnungen!$E$181=C9,Begegnungen!$E$182=C9,Begegnungen!$E$183=C9,Begegnungen!$E$184=C9,Begegnungen!$E$185=C9,Begegnungen!$E$186=C9,Begegnungen!$E$187=C9),Begegnungen!$E$194,""))</f>
        <v>0</v>
      </c>
      <c r="AA9" s="66" t="str">
        <f>IF(OR(Begegnungen!$I$181=C9,Begegnungen!$I$182=C9,Begegnungen!$I$183=C9,Begegnungen!$I$184=C9,Begegnungen!$I$185=C9,Begegnungen!$I$186=C9,Begegnungen!$I$187=C9),Begegnungen!$I$194,IF(OR(Begegnungen!$K$181=C9,Begegnungen!$K$182=C9,Begegnungen!$K$183=C9,Begegnungen!$K$184=C9,Begegnungen!$K$185=C9,Begegnungen!$K$186=C9,Begegnungen!$K$187=C9),Begegnungen!$K$194,""))</f>
        <v/>
      </c>
      <c r="AB9" s="66" t="str">
        <f>IF(OR(Begegnungen!$C$197=C9,Begegnungen!$C$198=C9,Begegnungen!$C$199=C9,Begegnungen!$C$200=C9,Begegnungen!$C$201=C9,Begegnungen!$C$202=C9,Begegnungen!$C$203=C9),Begegnungen!$C$210,IF(OR(Begegnungen!$E$197=C9,Begegnungen!$E$198=C9,Begegnungen!$E$199=C9,Begegnungen!$E$200=C9,Begegnungen!$E$201=C9,Begegnungen!$E$202=C9,Begegnungen!$E$203=C9),Begegnungen!$E$210,""))</f>
        <v>3</v>
      </c>
      <c r="AC9" s="66" t="str">
        <f>IF(OR(Begegnungen!$I$197=C9,Begegnungen!$I$198=C9,Begegnungen!$I$199=C9,Begegnungen!$I$200=C9,Begegnungen!$I$201=C9,Begegnungen!$I$202=C9,Begegnungen!$I$203=C9),Begegnungen!$I$210,IF(OR(Begegnungen!$K$197=C9,Begegnungen!$K$198=C9,Begegnungen!$K$199=C9,Begegnungen!$K$200=C9,Begegnungen!$K$201=C9,Begegnungen!$K$202=C9,Begegnungen!$K$203=C9),Begegnungen!$K$210,""))</f>
        <v>0</v>
      </c>
      <c r="AD9" s="66" t="str">
        <f>IF(OR(Begegnungen!$C$213=C9,Begegnungen!$C$214=C9,Begegnungen!$C$215=C9,Begegnungen!$C$216=C9,Begegnungen!$C$217=C9,Begegnungen!$C$218=C9,Begegnungen!$C$219=C9),Begegnungen!$C$226,IF(OR(Begegnungen!$E$213=C9,Begegnungen!$E$214=C9,Begegnungen!$E$215=C9,Begegnungen!$E$216=C9,Begegnungen!$E$217=C9,Begegnungen!$E$218=C9,Begegnungen!$E$219=C9),Begegnungen!$E$226,""))</f>
        <v>3</v>
      </c>
      <c r="AE9" s="66" t="str">
        <f>IF(OR(Begegnungen!$I$213=C9,Begegnungen!$I$214=C9,Begegnungen!$I$215=C9,Begegnungen!$I$216=C9,Begegnungen!$I$217=C9,Begegnungen!$I$218=C9,Begegnungen!$I$219=C9),Begegnungen!$I$226,IF(OR(Begegnungen!$K$213=C9,Begegnungen!$K$214=C9,Begegnungen!$K$215=C9,Begegnungen!$K$216=C9,Begegnungen!$K$217=C9,Begegnungen!$K$218=C9,Begegnungen!$K$219=C9),Begegnungen!$K$226,""))</f>
        <v>3</v>
      </c>
      <c r="AF9" s="136" t="str">
        <f>IF(OR(Begegnungen!$C$229=C9,Begegnungen!$C$230=C9,Begegnungen!$C$231=C9,Begegnungen!$C$232=C9,Begegnungen!$C$233=C9,Begegnungen!$C$234=C9,Begegnungen!$C$235=C9),Begegnungen!$C$242,IF(OR(Begegnungen!$E$229=C9,Begegnungen!$E$230=C9,Begegnungen!$E$231=C9,Begegnungen!$E$232=C9,Begegnungen!$E$233=C9,Begegnungen!$E$234=C9,Begegnungen!$E$235=C9),Begegnungen!$E$242,""))</f>
        <v/>
      </c>
      <c r="AG9" s="66" t="str">
        <f>IF(OR(Begegnungen!$I$229=C9,Begegnungen!$I$230=C9,Begegnungen!$I$231=C9,Begegnungen!$I$232=C9,Begegnungen!$I$233=C9,Begegnungen!$I$234=C9,Begegnungen!$I$235=C9),Begegnungen!$I$242,IF(OR(Begegnungen!$K$229=C9,Begegnungen!$K$230=C9,Begegnungen!$K$231=C9,Begegnungen!$K$232=C9,Begegnungen!$K$233=C9,Begegnungen!$K$234=C9,Begegnungen!$K$235=C9),Begegnungen!$K$242,""))</f>
        <v>0</v>
      </c>
      <c r="AH9" s="66" t="str">
        <f>IF(OR(Begegnungen!$C$245=C9,Begegnungen!$C$246=C9,Begegnungen!$C$247=C9,Begegnungen!$C$248=C9,Begegnungen!$C$249=C9,Begegnungen!$C$250=C9,Begegnungen!$C$251=C9),Begegnungen!$C$258,IF(OR(Begegnungen!$E$245=C9,Begegnungen!$E$246=C9,Begegnungen!$E$247=C9,Begegnungen!$E$248=C9,Begegnungen!$E$249=C9,Begegnungen!$E$250=C9,Begegnungen!$E$251=C9),Begegnungen!$E$258,""))</f>
        <v>3</v>
      </c>
      <c r="AI9" s="66" t="str">
        <f>IF(OR(Begegnungen!$I$245=C9,Begegnungen!$I$246=C9,Begegnungen!$I$247=C9,Begegnungen!$I$248=C9,Begegnungen!$I$249=C9,Begegnungen!$I$250=C9,Begegnungen!$I$251=C9),Begegnungen!$I$258,IF(OR(Begegnungen!$K$245=C9,Begegnungen!$K$246=C9,Begegnungen!$K$247=C9,Begegnungen!$K$248=C9,Begegnungen!$K$249=C9,Begegnungen!$K$250=C9,Begegnungen!$K$251=C9),Begegnungen!$K$258,""))</f>
        <v/>
      </c>
      <c r="AJ9" s="66" t="str">
        <f>IF(OR(Begegnungen!$C$261=C9,Begegnungen!$C$262=C9,Begegnungen!$C$263=C9,Begegnungen!$C$264=C9,Begegnungen!$C$265=C9,Begegnungen!$C$266=C9,Begegnungen!$C$267=C9),Begegnungen!$C$274,IF(OR(Begegnungen!$E$261=C9,Begegnungen!$E$262=C9,Begegnungen!$E$263=C9,Begegnungen!$E$264=C9,Begegnungen!$E$265=C9,Begegnungen!$E$266=C9,Begegnungen!$E$267=C9),Begegnungen!$E$274,""))</f>
        <v>0</v>
      </c>
      <c r="AK9" s="66" t="str">
        <f>IF(OR(Begegnungen!$I$261=C9,Begegnungen!$I$262=C9,Begegnungen!$I$263=C9,Begegnungen!$I$264=C9,Begegnungen!$I$265=C9,Begegnungen!$I$266=C9,Begegnungen!$I$267=C9),Begegnungen!$I$274,IF(OR(Begegnungen!$K$261=C9,Begegnungen!$K$262=C9,Begegnungen!$K$263=C9,Begegnungen!$K$264=C9,Begegnungen!$K$265=C9,Begegnungen!$K$266=C9,Begegnungen!$K$267=C9),Begegnungen!$K$274,""))</f>
        <v/>
      </c>
      <c r="AL9" s="66" t="str">
        <f>IF(OR(Begegnungen!$C$277=C9,Begegnungen!$C$278=C9,Begegnungen!$C$279=C9,Begegnungen!$C$280=C9,Begegnungen!$C$281=C9,Begegnungen!$C$282=C9,Begegnungen!$C$283=C9),Begegnungen!$C$290,IF(OR(Begegnungen!$E$277=C9,Begegnungen!$E$278=C9,Begegnungen!$E$279=C9,Begegnungen!$E$280=C9,Begegnungen!$E$281=C9,Begegnungen!$E$282=C9,Begegnungen!$E$283=C9),Begegnungen!$E$290,""))</f>
        <v>3</v>
      </c>
      <c r="AM9" s="136" t="str">
        <f>IF(OR(Begegnungen!$I$277=C9,Begegnungen!$I$278=C9,Begegnungen!$I$279=C9,Begegnungen!$I$280=C9,Begegnungen!$I$281=C9,Begegnungen!$I$282=C9,Begegnungen!$I$283=C9),Begegnungen!$I$290,IF(OR(Begegnungen!$K$277=C9,Begegnungen!$K$278=C9,Begegnungen!$K$279=C9,Begegnungen!$K$280=C9,Begegnungen!$K$281=C9,Begegnungen!$K$282=C9,Begegnungen!$K$283=C9),Begegnungen!$K$290,""))</f>
        <v>3</v>
      </c>
      <c r="AN9" s="66" t="str">
        <f>IF(OR(Begegnungen!$C$293=C9,Begegnungen!$C$294=C9,Begegnungen!$C$295=C9,Begegnungen!$C$296=C9,Begegnungen!$C$297=C9,Begegnungen!$C$298=C9,Begegnungen!$C$299=C9),Begegnungen!$C$306,IF(OR(Begegnungen!$E$293=C9,Begegnungen!$E$294=C9,Begegnungen!$E$295=C9,Begegnungen!$E$296=C9,Begegnungen!$E$297=C9,Begegnungen!$E$298=C9,Begegnungen!$E$299=C9),Begegnungen!$E$306,""))</f>
        <v>3</v>
      </c>
      <c r="AO9" s="136" t="str">
        <f>IF(OR(Begegnungen!$I$293=C9,Begegnungen!$I$294=C9,Begegnungen!$I$295=C9,Begegnungen!$I$296=C9,Begegnungen!$I$297=C9,Begegnungen!$I$298=C9,Begegnungen!$I$299=C9),Begegnungen!$I$306,IF(OR(Begegnungen!$K$293=C9,Begegnungen!$K$294=C9,Begegnungen!$K$295=C9,Begegnungen!$K$296=C9,Begegnungen!$K$297=C9,Begegnungen!$K$298=C9,Begegnungen!$K$299=C9),Begegnungen!$K$306,""))</f>
        <v>3</v>
      </c>
      <c r="AP9" s="136" t="str">
        <f>IF(OR(Begegnungen!$C$309=C9,Begegnungen!$C$310=C9,Begegnungen!$C$311=C9,Begegnungen!$C$312=C9,Begegnungen!$C$313=C9,Begegnungen!$C$314=C9,Begegnungen!$C$315=C9),Begegnungen!$C$322,IF(OR(Begegnungen!$E$309=C9,Begegnungen!$E$310=C9,Begegnungen!$E$311=C9,Begegnungen!$E$312=C9,Begegnungen!$E$313=C9,Begegnungen!$E$314=C9,Begegnungen!$E$315=C9),Begegnungen!$E$322,""))</f>
        <v>0</v>
      </c>
      <c r="AQ9" s="66" t="str">
        <f>IF(OR(Begegnungen!$I$309=C9,Begegnungen!$I$310=C9,Begegnungen!$I$311=C9,Begegnungen!$I$312=C9,Begegnungen!$I$313=C9,Begegnungen!$I$314=C9,Begegnungen!$I$315=C9),Begegnungen!$I$322,IF(OR(Begegnungen!$K$309=C9,Begegnungen!$K$310=C9,Begegnungen!$K$311=C9,Begegnungen!$K$312=C9,Begegnungen!$K$313=C9,Begegnungen!$K$314=C9,Begegnungen!$K$315=C9),Begegnungen!$K$322,""))</f>
        <v>3</v>
      </c>
      <c r="AR9" s="18">
        <f t="shared" si="2"/>
        <v>34</v>
      </c>
      <c r="AS9" s="19">
        <f t="shared" si="0"/>
        <v>21</v>
      </c>
      <c r="AT9" s="22">
        <f t="shared" si="1"/>
        <v>1.05</v>
      </c>
      <c r="AU9" s="23">
        <f t="shared" si="3"/>
        <v>2.6690476190476193</v>
      </c>
      <c r="AW9" s="70">
        <f t="shared" si="4"/>
        <v>11</v>
      </c>
      <c r="AX9" s="30">
        <f t="shared" si="5"/>
        <v>1</v>
      </c>
      <c r="AY9" s="71">
        <f t="shared" si="6"/>
        <v>9</v>
      </c>
    </row>
    <row r="10" spans="2:51" x14ac:dyDescent="0.25">
      <c r="B10" s="3">
        <v>5</v>
      </c>
      <c r="C10" s="65" t="s">
        <v>22</v>
      </c>
      <c r="D10" s="66" t="str">
        <f>IF(OR(Begegnungen!$C$3=C10,Begegnungen!$C$4=C10,Begegnungen!$C$5=C10,Begegnungen!$C$6=C10,Begegnungen!$C$7=C10,Begegnungen!$C$8=C10,Begegnungen!$C$9=C10),Begegnungen!$C$16,IF(OR(Begegnungen!$E$3=C10,Begegnungen!$E$4=C10,Begegnungen!$E$5=C10,Begegnungen!$E$6=C10,Begegnungen!$E$7=C10,Begegnungen!$E$8=C10,Begegnungen!$E$9=C10),Begegnungen!$E$16,""))</f>
        <v>1</v>
      </c>
      <c r="E10" s="66" t="str">
        <f>IF(OR(Begegnungen!$I$3=C10,Begegnungen!$I$4=C10,Begegnungen!$I$5=C10,Begegnungen!$I$6=C10,Begegnungen!$I$7=C10,Begegnungen!$I$8=C10,Begegnungen!$I$9=C10),Begegnungen!$I$16,IF(OR(Begegnungen!$K$3=C10,Begegnungen!$K$4=C10,Begegnungen!$K$5=C10,Begegnungen!$K$6=C10,Begegnungen!$K$7=C10,Begegnungen!$K$8=C10,Begegnungen!$K$9=C10),Begegnungen!$K$16,""))</f>
        <v>3</v>
      </c>
      <c r="F10" s="66" t="str">
        <f>IF(OR(Begegnungen!$C$19=C10,Begegnungen!$C$20=C10,Begegnungen!$C$21=C10,Begegnungen!$C$22=C10,Begegnungen!$C$23=C10,Begegnungen!$C$24=C10,Begegnungen!$C$25=C10),Begegnungen!$C$32,IF(OR(Begegnungen!$E$19=C10,Begegnungen!$E$20=C10,Begegnungen!$E$21=C10,Begegnungen!$E$22=C10,Begegnungen!$E$23=C10,Begegnungen!$E$24=C10,Begegnungen!$E$25=C10),Begegnungen!$E$32,""))</f>
        <v/>
      </c>
      <c r="G10" s="66" t="str">
        <f>IF(OR(Begegnungen!$I$19=C10,Begegnungen!$I$20=C10,Begegnungen!$I$21=C10,Begegnungen!$I$22=C10,Begegnungen!$I$23=C10,Begegnungen!$I$24=C10,Begegnungen!$I$25=C10),Begegnungen!$I$32,IF(OR(Begegnungen!$K$19=C10,Begegnungen!$K$20=C10,Begegnungen!$K$21=C10,Begegnungen!$K$22=C10,Begegnungen!$K$23=C10,Begegnungen!$K$24=C10,Begegnungen!$K$25=C10),Begegnungen!$K$32,""))</f>
        <v>3</v>
      </c>
      <c r="H10" s="66" t="str">
        <f>IF(OR(Begegnungen!$C$35=C10,Begegnungen!$C$36=C10,Begegnungen!$C$37=C10,Begegnungen!$C$38=C10,Begegnungen!$C$39=C10,Begegnungen!$C$40=C10,Begegnungen!$C$41=C10),Begegnungen!$C$49,IF(OR(Begegnungen!$E$35=C10,Begegnungen!$E$36=C10,Begegnungen!$E$37=C10,Begegnungen!$E$38=C10,Begegnungen!$E$39=C10,Begegnungen!$E$40=C10,Begegnungen!$E$41=C10),Begegnungen!$E$49,""))</f>
        <v>0</v>
      </c>
      <c r="I10" s="66" t="str">
        <f>IF(OR(Begegnungen!$I$35=C10,Begegnungen!$I$36=C10,Begegnungen!$I$37=C10,Begegnungen!$I$38=C10,Begegnungen!$I$39=C10,Begegnungen!$I$40=C10,Begegnungen!$I$41=C10),Begegnungen!$I$49,IF(OR(Begegnungen!$K$35=C10,Begegnungen!$K$36=C10,Begegnungen!$K$37=C10,Begegnungen!$K$38=C10,Begegnungen!$K$39=C10,Begegnungen!$K$40=C10,Begegnungen!$K$41=C10),Begegnungen!$K$49,""))</f>
        <v>1</v>
      </c>
      <c r="J10" s="66" t="str">
        <f>IF(OR(Begegnungen!$C$52=C10,Begegnungen!$C$53=C10,Begegnungen!$C$54=C10,Begegnungen!$C$55=C10,Begegnungen!$C$56=C10,Begegnungen!$C$57=C10,Begegnungen!$C$58=C10),Begegnungen!$C$65,IF(OR(Begegnungen!$E$52=C10,Begegnungen!$E$53=C10,Begegnungen!$E$54=C10,Begegnungen!$E$55=C10,Begegnungen!$E$56=C10,Begegnungen!$E$57=C10,Begegnungen!$E$58=C10),Begegnungen!$E$65,""))</f>
        <v>0</v>
      </c>
      <c r="K10" s="66" t="str">
        <f>IF(OR(Begegnungen!$I$52=C10,Begegnungen!$I$53=C10,Begegnungen!$I$54=C10,Begegnungen!$I$55=C10,Begegnungen!$I$56=C10,Begegnungen!$I$57=C10,Begegnungen!$I$58=C10),Begegnungen!$I$65,IF(OR(Begegnungen!$K$52=C10,Begegnungen!$K$53=C10,Begegnungen!$K$54=C10,Begegnungen!$K$55=C10,Begegnungen!$K$56=C10,Begegnungen!$K$57=C10,Begegnungen!$K$58=C10),Begegnungen!$K$65,""))</f>
        <v>3</v>
      </c>
      <c r="L10" s="136" t="str">
        <f>IF(OR(Begegnungen!$C$68=C10,Begegnungen!$C$69=C10,Begegnungen!$C$70=C10,Begegnungen!$C$71=C10,Begegnungen!$C$72=C10,Begegnungen!$C$73=C10,Begegnungen!$C$74=C10),Begegnungen!$C$81,IF(OR(Begegnungen!$E$68=C10,Begegnungen!$E$69=C10,Begegnungen!$E$70=C10,Begegnungen!$E$71=C10,Begegnungen!$E$72=C10,Begegnungen!$E$73=C10,Begegnungen!$E$74=C10),Begegnungen!$E$81,""))</f>
        <v>0</v>
      </c>
      <c r="M10" s="66" t="str">
        <f>IF(OR(Begegnungen!$I$68=C10,Begegnungen!$I$69=C10,Begegnungen!$I$70=C10,Begegnungen!$I$71=C10,Begegnungen!$I$72=C10,Begegnungen!$I$73=C10,Begegnungen!$I$74=C10),Begegnungen!$I$81,IF(OR(Begegnungen!$K$68=C10,Begegnungen!$K$69=C10,Begegnungen!$K$70=C10,Begegnungen!$K$71=C10,Begegnungen!$K$72=C10,Begegnungen!$K$73=C10,Begegnungen!$K$74=C10),Begegnungen!$K$81,""))</f>
        <v/>
      </c>
      <c r="N10" s="66" t="str">
        <f>IF(OR(Begegnungen!$C$84=C10,Begegnungen!$C$85=C10,Begegnungen!$C$86=C10,Begegnungen!$C$87=C10,Begegnungen!$C$88=C10,Begegnungen!$C$89=C10,Begegnungen!$C$90=C10),Begegnungen!$C$98,IF(OR(Begegnungen!$E$84=C10,Begegnungen!$E$85=C10,Begegnungen!$E$86=C10,Begegnungen!$E$87=C10,Begegnungen!$E$88=C10,Begegnungen!$E$89=C10,Begegnungen!$E$90=C10),Begegnungen!$E$98,""))</f>
        <v>3</v>
      </c>
      <c r="O10" s="66" t="str">
        <f>IF(OR(Begegnungen!$I$84=C10,Begegnungen!$I$85=C10,Begegnungen!$I$86=C10,Begegnungen!$I$87=C10,Begegnungen!$I$88=C10,Begegnungen!$I$89=C10,Begegnungen!$I$90=C10),Begegnungen!$I$98,IF(OR(Begegnungen!$K$84=C10,Begegnungen!$K$85=C10,Begegnungen!$K$86=C10,Begegnungen!$K$87=C10,Begegnungen!$K$88=C10,Begegnungen!$K$89=C10,Begegnungen!$K$90=C10),Begegnungen!$K$98,""))</f>
        <v>0</v>
      </c>
      <c r="P10" s="66" t="str">
        <f>IF(OR(Begegnungen!$C$101=C10,Begegnungen!$C$102=C10,Begegnungen!$C$103=C10,Begegnungen!$C$104=C10,Begegnungen!$C$105=C10,Begegnungen!$C$106=C10,Begegnungen!$C$107=C10),Begegnungen!$C$114,IF(OR(Begegnungen!$E$101=C10,Begegnungen!$E$102=C10,Begegnungen!$E$103=C10,Begegnungen!$E$104=C10,Begegnungen!$E$105=C10,Begegnungen!$E$106=C10,Begegnungen!$E$107=C10),Begegnungen!$E$114,""))</f>
        <v>3</v>
      </c>
      <c r="Q10" s="66" t="str">
        <f>IF(OR(Begegnungen!$I$101=C10,Begegnungen!$I$102=C10,Begegnungen!$I$103=C10,Begegnungen!$I$104=C10,Begegnungen!$I$105=C10,Begegnungen!$I$106=C10,Begegnungen!$I$107=C10),Begegnungen!$I$114,IF(OR(Begegnungen!$K$101=C10,Begegnungen!$K$102=C10,Begegnungen!$K$103=C10,Begegnungen!$K$104=C10,Begegnungen!$K$105=C10,Begegnungen!$K$106=C10,Begegnungen!$K$107=C10),Begegnungen!$K$114,""))</f>
        <v>3</v>
      </c>
      <c r="R10" s="136" t="str">
        <f>IF(OR(Begegnungen!$C$117=C10,Begegnungen!$C$118=C10,Begegnungen!$C$119=C10,Begegnungen!$C$120=C10,Begegnungen!$C$121=C10,Begegnungen!$C$122=C10,Begegnungen!$C$123=C10),Begegnungen!$C$130,IF(OR(Begegnungen!$E$117=C10,Begegnungen!$E$118=C10,Begegnungen!$E$119=C10,Begegnungen!$E$120=C10,Begegnungen!$E$121=C10,Begegnungen!$E$122=C10,Begegnungen!$E$123=C10),Begegnungen!$E$130,""))</f>
        <v>3</v>
      </c>
      <c r="S10" s="66" t="str">
        <f>IF(OR(Begegnungen!$I$117=C10,Begegnungen!$I$118=C10,Begegnungen!$I$119=C10,Begegnungen!$I$120=C10,Begegnungen!$I$121=C10,Begegnungen!$I$122=C10,Begegnungen!$I$123=C10),Begegnungen!$I$130,IF(OR(Begegnungen!$K$117=C10,Begegnungen!$K$118=C10,Begegnungen!$K$119=C10,Begegnungen!$K$120=C10,Begegnungen!$K$121=C10,Begegnungen!$K$122=C10,Begegnungen!$K$123=C10),Begegnungen!$K$130,""))</f>
        <v>0</v>
      </c>
      <c r="T10" s="66" t="str">
        <f>IF(OR(Begegnungen!$C$133=C10,Begegnungen!$C$134=C10,Begegnungen!$C$135=C10,Begegnungen!$C$136=C10,Begegnungen!$C$137=C10,Begegnungen!$C$138=C10,Begegnungen!$C$139=C10),Begegnungen!$C$146,IF(OR(Begegnungen!$E$133=C10,Begegnungen!$E$134=C10,Begegnungen!$E$135=C10,Begegnungen!$E$136=C10,Begegnungen!$E$137=C10,Begegnungen!$E$138=C10,Begegnungen!$E$139=C10),Begegnungen!$E$146,""))</f>
        <v>0</v>
      </c>
      <c r="U10" s="66" t="str">
        <f>IF(OR(Begegnungen!$I$133=C10,Begegnungen!$I$134=C10,Begegnungen!$I$135=C10,Begegnungen!$I$136=C10,Begegnungen!$I$137=C10,Begegnungen!$I$138=C10,Begegnungen!$I$139=C10),Begegnungen!$I$146,IF(OR(Begegnungen!$K$133=C10,Begegnungen!$K$134=C10,Begegnungen!$K$135=C10,Begegnungen!$K$136=C10,Begegnungen!$K$137=C10,Begegnungen!$K$138=C10,Begegnungen!$K$139=C10),Begegnungen!$K$146,""))</f>
        <v>0</v>
      </c>
      <c r="V10" s="66" t="str">
        <f>IF(OR(Begegnungen!$C$149=C10,Begegnungen!$C$150=C10,Begegnungen!$C$151=C10,Begegnungen!$C$152=C10,Begegnungen!$C$153=C10,Begegnungen!$C$154=C10,Begegnungen!$C$155=C10),Begegnungen!$C$162,IF(OR(Begegnungen!$E$149=C10,Begegnungen!$E$150=C10,Begegnungen!$E$151=C10,Begegnungen!$E$152=C10,Begegnungen!$E$153=C10,Begegnungen!$E$154=C10,Begegnungen!$E$155=C10),Begegnungen!$E$162,""))</f>
        <v>3</v>
      </c>
      <c r="W10" s="66" t="str">
        <f>IF(OR(Begegnungen!$I$149=C10,Begegnungen!$I$150=C10,Begegnungen!$I$151=C10,Begegnungen!$I$152=C10,Begegnungen!$I$153=C10,Begegnungen!$I$154=C10,Begegnungen!$I$155=C10),Begegnungen!$I$162,IF(OR(Begegnungen!$K$149=C10,Begegnungen!$K$150=C10,Begegnungen!$K$151=C10,Begegnungen!$K$152=C10,Begegnungen!$K$153=C10,Begegnungen!$K$154=C10,Begegnungen!$K$155=C10),Begegnungen!$K$162,""))</f>
        <v>0</v>
      </c>
      <c r="X10" s="66" t="str">
        <f>IF(OR(Begegnungen!$C$165=C10,Begegnungen!$C$166=C10,Begegnungen!$C$167=C10,Begegnungen!$C$168=C10,Begegnungen!$C$169=C10,Begegnungen!$C$170=C10,Begegnungen!$C$171=C10),Begegnungen!$C$178,IF(OR(Begegnungen!$E$165=C10,Begegnungen!$E$166=C10,Begegnungen!$E$167=C10,Begegnungen!$E$168=C10,Begegnungen!$E$169=C10,Begegnungen!$E$170=C10,Begegnungen!$E$171=C10),Begegnungen!$E$178,""))</f>
        <v>0</v>
      </c>
      <c r="Y10" s="66" t="str">
        <f>IF(OR(Begegnungen!$I$165=C10,Begegnungen!$I$166=C10,Begegnungen!$I$167=C10,Begegnungen!$I$168=C10,Begegnungen!$I$169=C10,Begegnungen!$I$170=C10,Begegnungen!$I$171=C10),Begegnungen!$I$178,IF(OR(Begegnungen!$K$165=C10,Begegnungen!$K$166=C10,Begegnungen!$K$167=C10,Begegnungen!$K$168=C10,Begegnungen!$K$169=C10,Begegnungen!$K$170=C10,Begegnungen!$K$171=C10),Begegnungen!$K$178,""))</f>
        <v>3</v>
      </c>
      <c r="Z10" s="66" t="str">
        <f>IF(OR(Begegnungen!$C$181=C10,Begegnungen!$C$182=C10,Begegnungen!$C$183=C10,Begegnungen!$C$184=C10,Begegnungen!$C$185=C10,Begegnungen!$C$186=C10,Begegnungen!$C$187=C10),Begegnungen!$C$194,IF(OR(Begegnungen!$E$181=C10,Begegnungen!$E$182=C10,Begegnungen!$E$183=C10,Begegnungen!$E$184=C10,Begegnungen!$E$185=C10,Begegnungen!$E$186=C10,Begegnungen!$E$187=C10),Begegnungen!$E$194,""))</f>
        <v>0</v>
      </c>
      <c r="AA10" s="66" t="str">
        <f>IF(OR(Begegnungen!$I$181=C10,Begegnungen!$I$182=C10,Begegnungen!$I$183=C10,Begegnungen!$I$184=C10,Begegnungen!$I$185=C10,Begegnungen!$I$186=C10,Begegnungen!$I$187=C10),Begegnungen!$I$194,IF(OR(Begegnungen!$K$181=C10,Begegnungen!$K$182=C10,Begegnungen!$K$183=C10,Begegnungen!$K$184=C10,Begegnungen!$K$185=C10,Begegnungen!$K$186=C10,Begegnungen!$K$187=C10),Begegnungen!$K$194,""))</f>
        <v>3</v>
      </c>
      <c r="AB10" s="66" t="str">
        <f>IF(OR(Begegnungen!$C$197=C10,Begegnungen!$C$198=C10,Begegnungen!$C$199=C10,Begegnungen!$C$200=C10,Begegnungen!$C$201=C10,Begegnungen!$C$202=C10,Begegnungen!$C$203=C10),Begegnungen!$C$210,IF(OR(Begegnungen!$E$197=C10,Begegnungen!$E$198=C10,Begegnungen!$E$199=C10,Begegnungen!$E$200=C10,Begegnungen!$E$201=C10,Begegnungen!$E$202=C10,Begegnungen!$E$203=C10),Begegnungen!$E$210,""))</f>
        <v>3</v>
      </c>
      <c r="AC10" s="66" t="str">
        <f>IF(OR(Begegnungen!$I$197=C10,Begegnungen!$I$198=C10,Begegnungen!$I$199=C10,Begegnungen!$I$200=C10,Begegnungen!$I$201=C10,Begegnungen!$I$202=C10,Begegnungen!$I$203=C10),Begegnungen!$I$210,IF(OR(Begegnungen!$K$197=C10,Begegnungen!$K$198=C10,Begegnungen!$K$199=C10,Begegnungen!$K$200=C10,Begegnungen!$K$201=C10,Begegnungen!$K$202=C10,Begegnungen!$K$203=C10),Begegnungen!$K$210,""))</f>
        <v>0</v>
      </c>
      <c r="AD10" s="66" t="str">
        <f>IF(OR(Begegnungen!$C$213=C10,Begegnungen!$C$214=C10,Begegnungen!$C$215=C10,Begegnungen!$C$216=C10,Begegnungen!$C$217=C10,Begegnungen!$C$218=C10,Begegnungen!$C$219=C10),Begegnungen!$C$226,IF(OR(Begegnungen!$E$213=C10,Begegnungen!$E$214=C10,Begegnungen!$E$215=C10,Begegnungen!$E$216=C10,Begegnungen!$E$217=C10,Begegnungen!$E$218=C10,Begegnungen!$E$219=C10),Begegnungen!$E$226,""))</f>
        <v/>
      </c>
      <c r="AE10" s="66" t="str">
        <f>IF(OR(Begegnungen!$I$213=C10,Begegnungen!$I$214=C10,Begegnungen!$I$215=C10,Begegnungen!$I$216=C10,Begegnungen!$I$217=C10,Begegnungen!$I$218=C10,Begegnungen!$I$219=C10),Begegnungen!$I$226,IF(OR(Begegnungen!$K$213=C10,Begegnungen!$K$214=C10,Begegnungen!$K$215=C10,Begegnungen!$K$216=C10,Begegnungen!$K$217=C10,Begegnungen!$K$218=C10,Begegnungen!$K$219=C10),Begegnungen!$K$226,""))</f>
        <v>3</v>
      </c>
      <c r="AF10" s="136" t="str">
        <f>IF(OR(Begegnungen!$C$229=C10,Begegnungen!$C$230=C10,Begegnungen!$C$231=C10,Begegnungen!$C$232=C10,Begegnungen!$C$233=C10,Begegnungen!$C$234=C10,Begegnungen!$C$235=C10),Begegnungen!$C$242,IF(OR(Begegnungen!$E$229=C10,Begegnungen!$E$230=C10,Begegnungen!$E$231=C10,Begegnungen!$E$232=C10,Begegnungen!$E$233=C10,Begegnungen!$E$234=C10,Begegnungen!$E$235=C10),Begegnungen!$E$242,""))</f>
        <v>0</v>
      </c>
      <c r="AG10" s="66" t="str">
        <f>IF(OR(Begegnungen!$I$229=C10,Begegnungen!$I$230=C10,Begegnungen!$I$231=C10,Begegnungen!$I$232=C10,Begegnungen!$I$233=C10,Begegnungen!$I$234=C10,Begegnungen!$I$235=C10),Begegnungen!$I$242,IF(OR(Begegnungen!$K$229=C10,Begegnungen!$K$230=C10,Begegnungen!$K$231=C10,Begegnungen!$K$232=C10,Begegnungen!$K$233=C10,Begegnungen!$K$234=C10,Begegnungen!$K$235=C10),Begegnungen!$K$242,""))</f>
        <v>3</v>
      </c>
      <c r="AH10" s="66" t="str">
        <f>IF(OR(Begegnungen!$C$245=C10,Begegnungen!$C$246=C10,Begegnungen!$C$247=C10,Begegnungen!$C$248=C10,Begegnungen!$C$249=C10,Begegnungen!$C$250=C10,Begegnungen!$C$251=C10),Begegnungen!$C$258,IF(OR(Begegnungen!$E$245=C10,Begegnungen!$E$246=C10,Begegnungen!$E$247=C10,Begegnungen!$E$248=C10,Begegnungen!$E$249=C10,Begegnungen!$E$250=C10,Begegnungen!$E$251=C10),Begegnungen!$E$258,""))</f>
        <v>0</v>
      </c>
      <c r="AI10" s="66" t="str">
        <f>IF(OR(Begegnungen!$I$245=C10,Begegnungen!$I$246=C10,Begegnungen!$I$247=C10,Begegnungen!$I$248=C10,Begegnungen!$I$249=C10,Begegnungen!$I$250=C10,Begegnungen!$I$251=C10),Begegnungen!$I$258,IF(OR(Begegnungen!$K$245=C10,Begegnungen!$K$246=C10,Begegnungen!$K$247=C10,Begegnungen!$K$248=C10,Begegnungen!$K$249=C10,Begegnungen!$K$250=C10,Begegnungen!$K$251=C10),Begegnungen!$K$258,""))</f>
        <v>0</v>
      </c>
      <c r="AJ10" s="66" t="str">
        <f>IF(OR(Begegnungen!$C$261=C10,Begegnungen!$C$262=C10,Begegnungen!$C$263=C10,Begegnungen!$C$264=C10,Begegnungen!$C$265=C10,Begegnungen!$C$266=C10,Begegnungen!$C$267=C10),Begegnungen!$C$274,IF(OR(Begegnungen!$E$261=C10,Begegnungen!$E$262=C10,Begegnungen!$E$263=C10,Begegnungen!$E$264=C10,Begegnungen!$E$265=C10,Begegnungen!$E$266=C10,Begegnungen!$E$267=C10),Begegnungen!$E$274,""))</f>
        <v>0</v>
      </c>
      <c r="AK10" s="66" t="str">
        <f>IF(OR(Begegnungen!$I$261=C10,Begegnungen!$I$262=C10,Begegnungen!$I$263=C10,Begegnungen!$I$264=C10,Begegnungen!$I$265=C10,Begegnungen!$I$266=C10,Begegnungen!$I$267=C10),Begegnungen!$I$274,IF(OR(Begegnungen!$K$261=C10,Begegnungen!$K$262=C10,Begegnungen!$K$263=C10,Begegnungen!$K$264=C10,Begegnungen!$K$265=C10,Begegnungen!$K$266=C10,Begegnungen!$K$267=C10),Begegnungen!$K$274,""))</f>
        <v>1</v>
      </c>
      <c r="AL10" s="66" t="str">
        <f>IF(OR(Begegnungen!$C$277=C10,Begegnungen!$C$278=C10,Begegnungen!$C$279=C10,Begegnungen!$C$280=C10,Begegnungen!$C$281=C10,Begegnungen!$C$282=C10,Begegnungen!$C$283=C10),Begegnungen!$C$290,IF(OR(Begegnungen!$E$277=C10,Begegnungen!$E$278=C10,Begegnungen!$E$279=C10,Begegnungen!$E$280=C10,Begegnungen!$E$281=C10,Begegnungen!$E$282=C10,Begegnungen!$E$283=C10),Begegnungen!$E$290,""))</f>
        <v>0</v>
      </c>
      <c r="AM10" s="136" t="str">
        <f>IF(OR(Begegnungen!$I$277=C10,Begegnungen!$I$278=C10,Begegnungen!$I$279=C10,Begegnungen!$I$280=C10,Begegnungen!$I$281=C10,Begegnungen!$I$282=C10,Begegnungen!$I$283=C10),Begegnungen!$I$290,IF(OR(Begegnungen!$K$277=C10,Begegnungen!$K$278=C10,Begegnungen!$K$279=C10,Begegnungen!$K$280=C10,Begegnungen!$K$281=C10,Begegnungen!$K$282=C10,Begegnungen!$K$283=C10),Begegnungen!$K$290,""))</f>
        <v>3</v>
      </c>
      <c r="AN10" s="66" t="str">
        <f>IF(OR(Begegnungen!$C$293=C10,Begegnungen!$C$294=C10,Begegnungen!$C$295=C10,Begegnungen!$C$296=C10,Begegnungen!$C$297=C10,Begegnungen!$C$298=C10,Begegnungen!$C$299=C10),Begegnungen!$C$306,IF(OR(Begegnungen!$E$293=C10,Begegnungen!$E$294=C10,Begegnungen!$E$295=C10,Begegnungen!$E$296=C10,Begegnungen!$E$297=C10,Begegnungen!$E$298=C10,Begegnungen!$E$299=C10),Begegnungen!$E$306,""))</f>
        <v>3</v>
      </c>
      <c r="AO10" s="136" t="str">
        <f>IF(OR(Begegnungen!$I$293=C10,Begegnungen!$I$294=C10,Begegnungen!$I$295=C10,Begegnungen!$I$296=C10,Begegnungen!$I$297=C10,Begegnungen!$I$298=C10,Begegnungen!$I$299=C10),Begegnungen!$I$306,IF(OR(Begegnungen!$K$293=C10,Begegnungen!$K$294=C10,Begegnungen!$K$295=C10,Begegnungen!$K$296=C10,Begegnungen!$K$297=C10,Begegnungen!$K$298=C10,Begegnungen!$K$299=C10),Begegnungen!$K$306,""))</f>
        <v>3</v>
      </c>
      <c r="AP10" s="136" t="str">
        <f>IF(OR(Begegnungen!$C$309=C10,Begegnungen!$C$310=C10,Begegnungen!$C$311=C10,Begegnungen!$C$312=C10,Begegnungen!$C$313=C10,Begegnungen!$C$314=C10,Begegnungen!$C$315=C10),Begegnungen!$C$322,IF(OR(Begegnungen!$E$309=C10,Begegnungen!$E$310=C10,Begegnungen!$E$311=C10,Begegnungen!$E$312=C10,Begegnungen!$E$313=C10,Begegnungen!$E$314=C10,Begegnungen!$E$315=C10),Begegnungen!$E$322,""))</f>
        <v/>
      </c>
      <c r="AQ10" s="66" t="str">
        <f>IF(OR(Begegnungen!$I$309=C10,Begegnungen!$I$310=C10,Begegnungen!$I$311=C10,Begegnungen!$I$312=C10,Begegnungen!$I$313=C10,Begegnungen!$I$314=C10,Begegnungen!$I$315=C10),Begegnungen!$I$322,IF(OR(Begegnungen!$K$309=C10,Begegnungen!$K$310=C10,Begegnungen!$K$311=C10,Begegnungen!$K$312=C10,Begegnungen!$K$313=C10,Begegnungen!$K$314=C10,Begegnungen!$K$315=C10),Begegnungen!$K$322,""))</f>
        <v>0</v>
      </c>
      <c r="AR10" s="18">
        <f t="shared" si="2"/>
        <v>51</v>
      </c>
      <c r="AS10" s="19">
        <f t="shared" si="0"/>
        <v>36</v>
      </c>
      <c r="AT10" s="22">
        <f t="shared" si="1"/>
        <v>1.8</v>
      </c>
      <c r="AU10" s="23">
        <f t="shared" si="3"/>
        <v>3.2166666666666668</v>
      </c>
      <c r="AW10" s="70">
        <f t="shared" si="4"/>
        <v>16</v>
      </c>
      <c r="AX10" s="30">
        <f t="shared" si="5"/>
        <v>3</v>
      </c>
      <c r="AY10" s="71">
        <f t="shared" si="6"/>
        <v>17</v>
      </c>
    </row>
    <row r="11" spans="2:51" x14ac:dyDescent="0.25">
      <c r="B11" s="3">
        <v>6</v>
      </c>
      <c r="C11" s="65" t="s">
        <v>17</v>
      </c>
      <c r="D11" s="66" t="str">
        <f>IF(OR(Begegnungen!$C$3=C11,Begegnungen!$C$4=C11,Begegnungen!$C$5=C11,Begegnungen!$C$6=C11,Begegnungen!$C$7=C11,Begegnungen!$C$8=C11,Begegnungen!$C$9=C11),Begegnungen!$C$16,IF(OR(Begegnungen!$E$3=C11,Begegnungen!$E$4=C11,Begegnungen!$E$5=C11,Begegnungen!$E$6=C11,Begegnungen!$E$7=C11,Begegnungen!$E$8=C11,Begegnungen!$E$9=C11),Begegnungen!$E$16,""))</f>
        <v>1</v>
      </c>
      <c r="E11" s="66" t="str">
        <f>IF(OR(Begegnungen!$I$3=C11,Begegnungen!$I$4=C11,Begegnungen!$I$5=C11,Begegnungen!$I$6=C11,Begegnungen!$I$7=C11,Begegnungen!$I$8=C11,Begegnungen!$I$9=C11),Begegnungen!$I$16,IF(OR(Begegnungen!$K$3=C11,Begegnungen!$K$4=C11,Begegnungen!$K$5=C11,Begegnungen!$K$6=C11,Begegnungen!$K$7=C11,Begegnungen!$K$8=C11,Begegnungen!$K$9=C11),Begegnungen!$K$16,""))</f>
        <v>3</v>
      </c>
      <c r="F11" s="66" t="str">
        <f>IF(OR(Begegnungen!$C$19=C11,Begegnungen!$C$20=C11,Begegnungen!$C$21=C11,Begegnungen!$C$22=C11,Begegnungen!$C$23=C11,Begegnungen!$C$24=C11,Begegnungen!$C$25=C11),Begegnungen!$C$32,IF(OR(Begegnungen!$E$19=C11,Begegnungen!$E$20=C11,Begegnungen!$E$21=C11,Begegnungen!$E$22=C11,Begegnungen!$E$23=C11,Begegnungen!$E$24=C11,Begegnungen!$E$25=C11),Begegnungen!$E$32,""))</f>
        <v/>
      </c>
      <c r="G11" s="66" t="str">
        <f>IF(OR(Begegnungen!$I$19=C11,Begegnungen!$I$20=C11,Begegnungen!$I$21=C11,Begegnungen!$I$22=C11,Begegnungen!$I$23=C11,Begegnungen!$I$24=C11,Begegnungen!$I$25=C11),Begegnungen!$I$32,IF(OR(Begegnungen!$K$19=C11,Begegnungen!$K$20=C11,Begegnungen!$K$21=C11,Begegnungen!$K$22=C11,Begegnungen!$K$23=C11,Begegnungen!$K$24=C11,Begegnungen!$K$25=C11),Begegnungen!$K$32,""))</f>
        <v/>
      </c>
      <c r="H11" s="66" t="str">
        <f>IF(OR(Begegnungen!$C$35=C11,Begegnungen!$C$36=C11,Begegnungen!$C$37=C11,Begegnungen!$C$38=C11,Begegnungen!$C$39=C11,Begegnungen!$C$40=C11,Begegnungen!$C$41=C11),Begegnungen!$C$49,IF(OR(Begegnungen!$E$35=C11,Begegnungen!$E$36=C11,Begegnungen!$E$37=C11,Begegnungen!$E$38=C11,Begegnungen!$E$39=C11,Begegnungen!$E$40=C11,Begegnungen!$E$41=C11),Begegnungen!$E$49,""))</f>
        <v>0</v>
      </c>
      <c r="I11" s="66" t="str">
        <f>IF(OR(Begegnungen!$I$35=C11,Begegnungen!$I$36=C11,Begegnungen!$I$37=C11,Begegnungen!$I$38=C11,Begegnungen!$I$39=C11,Begegnungen!$I$40=C11,Begegnungen!$I$41=C11),Begegnungen!$I$49,IF(OR(Begegnungen!$K$35=C11,Begegnungen!$K$36=C11,Begegnungen!$K$37=C11,Begegnungen!$K$38=C11,Begegnungen!$K$39=C11,Begegnungen!$K$40=C11,Begegnungen!$K$41=C11),Begegnungen!$K$49,""))</f>
        <v>1</v>
      </c>
      <c r="J11" s="66" t="str">
        <f>IF(OR(Begegnungen!$C$52=C11,Begegnungen!$C$53=C11,Begegnungen!$C$54=C11,Begegnungen!$C$55=C11,Begegnungen!$C$56=C11,Begegnungen!$C$57=C11,Begegnungen!$C$58=C11),Begegnungen!$C$65,IF(OR(Begegnungen!$E$52=C11,Begegnungen!$E$53=C11,Begegnungen!$E$54=C11,Begegnungen!$E$55=C11,Begegnungen!$E$56=C11,Begegnungen!$E$57=C11,Begegnungen!$E$58=C11),Begegnungen!$E$65,""))</f>
        <v>3</v>
      </c>
      <c r="K11" s="66" t="str">
        <f>IF(OR(Begegnungen!$I$52=C11,Begegnungen!$I$53=C11,Begegnungen!$I$54=C11,Begegnungen!$I$55=C11,Begegnungen!$I$56=C11,Begegnungen!$I$57=C11,Begegnungen!$I$58=C11),Begegnungen!$I$65,IF(OR(Begegnungen!$K$52=C11,Begegnungen!$K$53=C11,Begegnungen!$K$54=C11,Begegnungen!$K$55=C11,Begegnungen!$K$56=C11,Begegnungen!$K$57=C11,Begegnungen!$K$58=C11),Begegnungen!$K$65,""))</f>
        <v>0</v>
      </c>
      <c r="L11" s="136" t="str">
        <f>IF(OR(Begegnungen!$C$68=C11,Begegnungen!$C$69=C11,Begegnungen!$C$70=C11,Begegnungen!$C$71=C11,Begegnungen!$C$72=C11,Begegnungen!$C$73=C11,Begegnungen!$C$74=C11),Begegnungen!$C$81,IF(OR(Begegnungen!$E$68=C11,Begegnungen!$E$69=C11,Begegnungen!$E$70=C11,Begegnungen!$E$71=C11,Begegnungen!$E$72=C11,Begegnungen!$E$73=C11,Begegnungen!$E$74=C11),Begegnungen!$E$81,""))</f>
        <v>3</v>
      </c>
      <c r="M11" s="66" t="str">
        <f>IF(OR(Begegnungen!$I$68=C11,Begegnungen!$I$69=C11,Begegnungen!$I$70=C11,Begegnungen!$I$71=C11,Begegnungen!$I$72=C11,Begegnungen!$I$73=C11,Begegnungen!$I$74=C11),Begegnungen!$I$81,IF(OR(Begegnungen!$K$68=C11,Begegnungen!$K$69=C11,Begegnungen!$K$70=C11,Begegnungen!$K$71=C11,Begegnungen!$K$72=C11,Begegnungen!$K$73=C11,Begegnungen!$K$74=C11),Begegnungen!$K$81,""))</f>
        <v>3</v>
      </c>
      <c r="N11" s="66" t="str">
        <f>IF(OR(Begegnungen!$C$84=C11,Begegnungen!$C$85=C11,Begegnungen!$C$86=C11,Begegnungen!$C$87=C11,Begegnungen!$C$88=C11,Begegnungen!$C$89=C11,Begegnungen!$C$90=C11),Begegnungen!$C$98,IF(OR(Begegnungen!$E$84=C11,Begegnungen!$E$85=C11,Begegnungen!$E$86=C11,Begegnungen!$E$87=C11,Begegnungen!$E$88=C11,Begegnungen!$E$89=C11,Begegnungen!$E$90=C11),Begegnungen!$E$98,""))</f>
        <v>0</v>
      </c>
      <c r="O11" s="66" t="str">
        <f>IF(OR(Begegnungen!$I$84=C11,Begegnungen!$I$85=C11,Begegnungen!$I$86=C11,Begegnungen!$I$87=C11,Begegnungen!$I$88=C11,Begegnungen!$I$89=C11,Begegnungen!$I$90=C11),Begegnungen!$I$98,IF(OR(Begegnungen!$K$84=C11,Begegnungen!$K$85=C11,Begegnungen!$K$86=C11,Begegnungen!$K$87=C11,Begegnungen!$K$88=C11,Begegnungen!$K$89=C11,Begegnungen!$K$90=C11),Begegnungen!$K$98,""))</f>
        <v>3</v>
      </c>
      <c r="P11" s="66" t="str">
        <f>IF(OR(Begegnungen!$C$101=C11,Begegnungen!$C$102=C11,Begegnungen!$C$103=C11,Begegnungen!$C$104=C11,Begegnungen!$C$105=C11,Begegnungen!$C$106=C11,Begegnungen!$C$107=C11),Begegnungen!$C$114,IF(OR(Begegnungen!$E$101=C11,Begegnungen!$E$102=C11,Begegnungen!$E$103=C11,Begegnungen!$E$104=C11,Begegnungen!$E$105=C11,Begegnungen!$E$106=C11,Begegnungen!$E$107=C11),Begegnungen!$E$114,""))</f>
        <v>3</v>
      </c>
      <c r="Q11" s="66" t="str">
        <f>IF(OR(Begegnungen!$I$101=C11,Begegnungen!$I$102=C11,Begegnungen!$I$103=C11,Begegnungen!$I$104=C11,Begegnungen!$I$105=C11,Begegnungen!$I$106=C11,Begegnungen!$I$107=C11),Begegnungen!$I$114,IF(OR(Begegnungen!$K$101=C11,Begegnungen!$K$102=C11,Begegnungen!$K$103=C11,Begegnungen!$K$104=C11,Begegnungen!$K$105=C11,Begegnungen!$K$106=C11,Begegnungen!$K$107=C11),Begegnungen!$K$114,""))</f>
        <v>0</v>
      </c>
      <c r="R11" s="136" t="str">
        <f>IF(OR(Begegnungen!$C$117=C11,Begegnungen!$C$118=C11,Begegnungen!$C$119=C11,Begegnungen!$C$120=C11,Begegnungen!$C$121=C11,Begegnungen!$C$122=C11,Begegnungen!$C$123=C11),Begegnungen!$C$130,IF(OR(Begegnungen!$E$117=C11,Begegnungen!$E$118=C11,Begegnungen!$E$119=C11,Begegnungen!$E$120=C11,Begegnungen!$E$121=C11,Begegnungen!$E$122=C11,Begegnungen!$E$123=C11),Begegnungen!$E$130,""))</f>
        <v>3</v>
      </c>
      <c r="S11" s="66" t="str">
        <f>IF(OR(Begegnungen!$I$117=C11,Begegnungen!$I$118=C11,Begegnungen!$I$119=C11,Begegnungen!$I$120=C11,Begegnungen!$I$121=C11,Begegnungen!$I$122=C11,Begegnungen!$I$123=C11),Begegnungen!$I$130,IF(OR(Begegnungen!$K$117=C11,Begegnungen!$K$118=C11,Begegnungen!$K$119=C11,Begegnungen!$K$120=C11,Begegnungen!$K$121=C11,Begegnungen!$K$122=C11,Begegnungen!$K$123=C11),Begegnungen!$K$130,""))</f>
        <v/>
      </c>
      <c r="T11" s="66" t="str">
        <f>IF(OR(Begegnungen!$C$133=C11,Begegnungen!$C$134=C11,Begegnungen!$C$135=C11,Begegnungen!$C$136=C11,Begegnungen!$C$137=C11,Begegnungen!$C$138=C11,Begegnungen!$C$139=C11),Begegnungen!$C$146,IF(OR(Begegnungen!$E$133=C11,Begegnungen!$E$134=C11,Begegnungen!$E$135=C11,Begegnungen!$E$136=C11,Begegnungen!$E$137=C11,Begegnungen!$E$138=C11,Begegnungen!$E$139=C11),Begegnungen!$E$146,""))</f>
        <v/>
      </c>
      <c r="U11" s="66" t="str">
        <f>IF(OR(Begegnungen!$I$133=C11,Begegnungen!$I$134=C11,Begegnungen!$I$135=C11,Begegnungen!$I$136=C11,Begegnungen!$I$137=C11,Begegnungen!$I$138=C11,Begegnungen!$I$139=C11),Begegnungen!$I$146,IF(OR(Begegnungen!$K$133=C11,Begegnungen!$K$134=C11,Begegnungen!$K$135=C11,Begegnungen!$K$136=C11,Begegnungen!$K$137=C11,Begegnungen!$K$138=C11,Begegnungen!$K$139=C11),Begegnungen!$K$146,""))</f>
        <v>0</v>
      </c>
      <c r="V11" s="66" t="str">
        <f>IF(OR(Begegnungen!$C$149=C11,Begegnungen!$C$150=C11,Begegnungen!$C$151=C11,Begegnungen!$C$152=C11,Begegnungen!$C$153=C11,Begegnungen!$C$154=C11,Begegnungen!$C$155=C11),Begegnungen!$C$162,IF(OR(Begegnungen!$E$149=C11,Begegnungen!$E$150=C11,Begegnungen!$E$151=C11,Begegnungen!$E$152=C11,Begegnungen!$E$153=C11,Begegnungen!$E$154=C11,Begegnungen!$E$155=C11),Begegnungen!$E$162,""))</f>
        <v>3</v>
      </c>
      <c r="W11" s="66" t="str">
        <f>IF(OR(Begegnungen!$I$149=C11,Begegnungen!$I$150=C11,Begegnungen!$I$151=C11,Begegnungen!$I$152=C11,Begegnungen!$I$153=C11,Begegnungen!$I$154=C11,Begegnungen!$I$155=C11),Begegnungen!$I$162,IF(OR(Begegnungen!$K$149=C11,Begegnungen!$K$150=C11,Begegnungen!$K$151=C11,Begegnungen!$K$152=C11,Begegnungen!$K$153=C11,Begegnungen!$K$154=C11,Begegnungen!$K$155=C11),Begegnungen!$K$162,""))</f>
        <v>0</v>
      </c>
      <c r="X11" s="66" t="str">
        <f>IF(OR(Begegnungen!$C$165=C11,Begegnungen!$C$166=C11,Begegnungen!$C$167=C11,Begegnungen!$C$168=C11,Begegnungen!$C$169=C11,Begegnungen!$C$170=C11,Begegnungen!$C$171=C11),Begegnungen!$C$178,IF(OR(Begegnungen!$E$165=C11,Begegnungen!$E$166=C11,Begegnungen!$E$167=C11,Begegnungen!$E$168=C11,Begegnungen!$E$169=C11,Begegnungen!$E$170=C11,Begegnungen!$E$171=C11),Begegnungen!$E$178,""))</f>
        <v/>
      </c>
      <c r="Y11" s="66" t="str">
        <f>IF(OR(Begegnungen!$I$165=C11,Begegnungen!$I$166=C11,Begegnungen!$I$167=C11,Begegnungen!$I$168=C11,Begegnungen!$I$169=C11,Begegnungen!$I$170=C11,Begegnungen!$I$171=C11),Begegnungen!$I$178,IF(OR(Begegnungen!$K$165=C11,Begegnungen!$K$166=C11,Begegnungen!$K$167=C11,Begegnungen!$K$168=C11,Begegnungen!$K$169=C11,Begegnungen!$K$170=C11,Begegnungen!$K$171=C11),Begegnungen!$K$178,""))</f>
        <v/>
      </c>
      <c r="Z11" s="66" t="str">
        <f>IF(OR(Begegnungen!$C$181=C11,Begegnungen!$C$182=C11,Begegnungen!$C$183=C11,Begegnungen!$C$184=C11,Begegnungen!$C$185=C11,Begegnungen!$C$186=C11,Begegnungen!$C$187=C11),Begegnungen!$C$194,IF(OR(Begegnungen!$E$181=C11,Begegnungen!$E$182=C11,Begegnungen!$E$183=C11,Begegnungen!$E$184=C11,Begegnungen!$E$185=C11,Begegnungen!$E$186=C11,Begegnungen!$E$187=C11),Begegnungen!$E$194,""))</f>
        <v>3</v>
      </c>
      <c r="AA11" s="66" t="str">
        <f>IF(OR(Begegnungen!$I$181=C11,Begegnungen!$I$182=C11,Begegnungen!$I$183=C11,Begegnungen!$I$184=C11,Begegnungen!$I$185=C11,Begegnungen!$I$186=C11,Begegnungen!$I$187=C11),Begegnungen!$I$194,IF(OR(Begegnungen!$K$181=C11,Begegnungen!$K$182=C11,Begegnungen!$K$183=C11,Begegnungen!$K$184=C11,Begegnungen!$K$185=C11,Begegnungen!$K$186=C11,Begegnungen!$K$187=C11),Begegnungen!$K$194,""))</f>
        <v>0</v>
      </c>
      <c r="AB11" s="66" t="str">
        <f>IF(OR(Begegnungen!$C$197=C11,Begegnungen!$C$198=C11,Begegnungen!$C$199=C11,Begegnungen!$C$200=C11,Begegnungen!$C$201=C11,Begegnungen!$C$202=C11,Begegnungen!$C$203=C11),Begegnungen!$C$210,IF(OR(Begegnungen!$E$197=C11,Begegnungen!$E$198=C11,Begegnungen!$E$199=C11,Begegnungen!$E$200=C11,Begegnungen!$E$201=C11,Begegnungen!$E$202=C11,Begegnungen!$E$203=C11),Begegnungen!$E$210,""))</f>
        <v>0</v>
      </c>
      <c r="AC11" s="66" t="str">
        <f>IF(OR(Begegnungen!$I$197=C11,Begegnungen!$I$198=C11,Begegnungen!$I$199=C11,Begegnungen!$I$200=C11,Begegnungen!$I$201=C11,Begegnungen!$I$202=C11,Begegnungen!$I$203=C11),Begegnungen!$I$210,IF(OR(Begegnungen!$K$197=C11,Begegnungen!$K$198=C11,Begegnungen!$K$199=C11,Begegnungen!$K$200=C11,Begegnungen!$K$201=C11,Begegnungen!$K$202=C11,Begegnungen!$K$203=C11),Begegnungen!$K$210,""))</f>
        <v>3</v>
      </c>
      <c r="AD11" s="66" t="str">
        <f>IF(OR(Begegnungen!$C$213=C11,Begegnungen!$C$214=C11,Begegnungen!$C$215=C11,Begegnungen!$C$216=C11,Begegnungen!$C$217=C11,Begegnungen!$C$218=C11,Begegnungen!$C$219=C11),Begegnungen!$C$226,IF(OR(Begegnungen!$E$213=C11,Begegnungen!$E$214=C11,Begegnungen!$E$215=C11,Begegnungen!$E$216=C11,Begegnungen!$E$217=C11,Begegnungen!$E$218=C11,Begegnungen!$E$219=C11),Begegnungen!$E$226,""))</f>
        <v>0</v>
      </c>
      <c r="AE11" s="66" t="str">
        <f>IF(OR(Begegnungen!$I$213=C11,Begegnungen!$I$214=C11,Begegnungen!$I$215=C11,Begegnungen!$I$216=C11,Begegnungen!$I$217=C11,Begegnungen!$I$218=C11,Begegnungen!$I$219=C11),Begegnungen!$I$226,IF(OR(Begegnungen!$K$213=C11,Begegnungen!$K$214=C11,Begegnungen!$K$215=C11,Begegnungen!$K$216=C11,Begegnungen!$K$217=C11,Begegnungen!$K$218=C11,Begegnungen!$K$219=C11),Begegnungen!$K$226,""))</f>
        <v>0</v>
      </c>
      <c r="AF11" s="136" t="str">
        <f>IF(OR(Begegnungen!$C$229=C11,Begegnungen!$C$230=C11,Begegnungen!$C$231=C11,Begegnungen!$C$232=C11,Begegnungen!$C$233=C11,Begegnungen!$C$234=C11,Begegnungen!$C$235=C11),Begegnungen!$C$242,IF(OR(Begegnungen!$E$229=C11,Begegnungen!$E$230=C11,Begegnungen!$E$231=C11,Begegnungen!$E$232=C11,Begegnungen!$E$233=C11,Begegnungen!$E$234=C11,Begegnungen!$E$235=C11),Begegnungen!$E$242,""))</f>
        <v>0</v>
      </c>
      <c r="AG11" s="66" t="str">
        <f>IF(OR(Begegnungen!$I$229=C11,Begegnungen!$I$230=C11,Begegnungen!$I$231=C11,Begegnungen!$I$232=C11,Begegnungen!$I$233=C11,Begegnungen!$I$234=C11,Begegnungen!$I$235=C11),Begegnungen!$I$242,IF(OR(Begegnungen!$K$229=C11,Begegnungen!$K$230=C11,Begegnungen!$K$231=C11,Begegnungen!$K$232=C11,Begegnungen!$K$233=C11,Begegnungen!$K$234=C11,Begegnungen!$K$235=C11),Begegnungen!$K$242,""))</f>
        <v>3</v>
      </c>
      <c r="AH11" s="66" t="str">
        <f>IF(OR(Begegnungen!$C$245=C11,Begegnungen!$C$246=C11,Begegnungen!$C$247=C11,Begegnungen!$C$248=C11,Begegnungen!$C$249=C11,Begegnungen!$C$250=C11,Begegnungen!$C$251=C11),Begegnungen!$C$258,IF(OR(Begegnungen!$E$245=C11,Begegnungen!$E$246=C11,Begegnungen!$E$247=C11,Begegnungen!$E$248=C11,Begegnungen!$E$249=C11,Begegnungen!$E$250=C11,Begegnungen!$E$251=C11),Begegnungen!$E$258,""))</f>
        <v>0</v>
      </c>
      <c r="AI11" s="66" t="str">
        <f>IF(OR(Begegnungen!$I$245=C11,Begegnungen!$I$246=C11,Begegnungen!$I$247=C11,Begegnungen!$I$248=C11,Begegnungen!$I$249=C11,Begegnungen!$I$250=C11,Begegnungen!$I$251=C11),Begegnungen!$I$258,IF(OR(Begegnungen!$K$245=C11,Begegnungen!$K$246=C11,Begegnungen!$K$247=C11,Begegnungen!$K$248=C11,Begegnungen!$K$249=C11,Begegnungen!$K$250=C11,Begegnungen!$K$251=C11),Begegnungen!$K$258,""))</f>
        <v>3</v>
      </c>
      <c r="AJ11" s="66" t="str">
        <f>IF(OR(Begegnungen!$C$261=C11,Begegnungen!$C$262=C11,Begegnungen!$C$263=C11,Begegnungen!$C$264=C11,Begegnungen!$C$265=C11,Begegnungen!$C$266=C11,Begegnungen!$C$267=C11),Begegnungen!$C$274,IF(OR(Begegnungen!$E$261=C11,Begegnungen!$E$262=C11,Begegnungen!$E$263=C11,Begegnungen!$E$264=C11,Begegnungen!$E$265=C11,Begegnungen!$E$266=C11,Begegnungen!$E$267=C11),Begegnungen!$E$274,""))</f>
        <v>3</v>
      </c>
      <c r="AK11" s="66" t="str">
        <f>IF(OR(Begegnungen!$I$261=C11,Begegnungen!$I$262=C11,Begegnungen!$I$263=C11,Begegnungen!$I$264=C11,Begegnungen!$I$265=C11,Begegnungen!$I$266=C11,Begegnungen!$I$267=C11),Begegnungen!$I$274,IF(OR(Begegnungen!$K$261=C11,Begegnungen!$K$262=C11,Begegnungen!$K$263=C11,Begegnungen!$K$264=C11,Begegnungen!$K$265=C11,Begegnungen!$K$266=C11,Begegnungen!$K$267=C11),Begegnungen!$K$274,""))</f>
        <v>1</v>
      </c>
      <c r="AL11" s="66" t="str">
        <f>IF(OR(Begegnungen!$C$277=C11,Begegnungen!$C$278=C11,Begegnungen!$C$279=C11,Begegnungen!$C$280=C11,Begegnungen!$C$281=C11,Begegnungen!$C$282=C11,Begegnungen!$C$283=C11),Begegnungen!$C$290,IF(OR(Begegnungen!$E$277=C11,Begegnungen!$E$278=C11,Begegnungen!$E$279=C11,Begegnungen!$E$280=C11,Begegnungen!$E$281=C11,Begegnungen!$E$282=C11,Begegnungen!$E$283=C11),Begegnungen!$E$290,""))</f>
        <v>0</v>
      </c>
      <c r="AM11" s="136" t="str">
        <f>IF(OR(Begegnungen!$I$277=C11,Begegnungen!$I$278=C11,Begegnungen!$I$279=C11,Begegnungen!$I$280=C11,Begegnungen!$I$281=C11,Begegnungen!$I$282=C11,Begegnungen!$I$283=C11),Begegnungen!$I$290,IF(OR(Begegnungen!$K$277=C11,Begegnungen!$K$278=C11,Begegnungen!$K$279=C11,Begegnungen!$K$280=C11,Begegnungen!$K$281=C11,Begegnungen!$K$282=C11,Begegnungen!$K$283=C11),Begegnungen!$K$290,""))</f>
        <v>0</v>
      </c>
      <c r="AN11" s="66" t="str">
        <f>IF(OR(Begegnungen!$C$293=C11,Begegnungen!$C$294=C11,Begegnungen!$C$295=C11,Begegnungen!$C$296=C11,Begegnungen!$C$297=C11,Begegnungen!$C$298=C11,Begegnungen!$C$299=C11),Begegnungen!$C$306,IF(OR(Begegnungen!$E$293=C11,Begegnungen!$E$294=C11,Begegnungen!$E$295=C11,Begegnungen!$E$296=C11,Begegnungen!$E$297=C11,Begegnungen!$E$298=C11,Begegnungen!$E$299=C11),Begegnungen!$E$306,""))</f>
        <v/>
      </c>
      <c r="AO11" s="136" t="str">
        <f>IF(OR(Begegnungen!$I$293=C11,Begegnungen!$I$294=C11,Begegnungen!$I$295=C11,Begegnungen!$I$296=C11,Begegnungen!$I$297=C11,Begegnungen!$I$298=C11,Begegnungen!$I$299=C11),Begegnungen!$I$306,IF(OR(Begegnungen!$K$293=C11,Begegnungen!$K$294=C11,Begegnungen!$K$295=C11,Begegnungen!$K$296=C11,Begegnungen!$K$297=C11,Begegnungen!$K$298=C11,Begegnungen!$K$299=C11),Begegnungen!$K$306,""))</f>
        <v/>
      </c>
      <c r="AP11" s="136" t="str">
        <f>IF(OR(Begegnungen!$C$309=C11,Begegnungen!$C$310=C11,Begegnungen!$C$311=C11,Begegnungen!$C$312=C11,Begegnungen!$C$313=C11,Begegnungen!$C$314=C11,Begegnungen!$C$315=C11),Begegnungen!$C$322,IF(OR(Begegnungen!$E$309=C11,Begegnungen!$E$310=C11,Begegnungen!$E$311=C11,Begegnungen!$E$312=C11,Begegnungen!$E$313=C11,Begegnungen!$E$314=C11,Begegnungen!$E$315=C11),Begegnungen!$E$322,""))</f>
        <v/>
      </c>
      <c r="AQ11" s="66" t="str">
        <f>IF(OR(Begegnungen!$I$309=C11,Begegnungen!$I$310=C11,Begegnungen!$I$311=C11,Begegnungen!$I$312=C11,Begegnungen!$I$313=C11,Begegnungen!$I$314=C11,Begegnungen!$I$315=C11),Begegnungen!$I$322,IF(OR(Begegnungen!$K$309=C11,Begegnungen!$K$310=C11,Begegnungen!$K$311=C11,Begegnungen!$K$312=C11,Begegnungen!$K$313=C11,Begegnungen!$K$314=C11,Begegnungen!$K$315=C11),Begegnungen!$K$322,""))</f>
        <v>0</v>
      </c>
      <c r="AR11" s="18">
        <f t="shared" si="2"/>
        <v>42</v>
      </c>
      <c r="AS11" s="19">
        <f t="shared" si="0"/>
        <v>31</v>
      </c>
      <c r="AT11" s="22">
        <f t="shared" si="1"/>
        <v>1.55</v>
      </c>
      <c r="AU11" s="23">
        <f t="shared" si="3"/>
        <v>2.9048387096774193</v>
      </c>
      <c r="AW11" s="70">
        <f t="shared" si="4"/>
        <v>13</v>
      </c>
      <c r="AX11" s="30">
        <f t="shared" si="5"/>
        <v>3</v>
      </c>
      <c r="AY11" s="71">
        <f t="shared" si="6"/>
        <v>15</v>
      </c>
    </row>
    <row r="12" spans="2:51" x14ac:dyDescent="0.25">
      <c r="B12" s="3">
        <v>7</v>
      </c>
      <c r="C12" s="65" t="s">
        <v>21</v>
      </c>
      <c r="D12" s="66" t="str">
        <f>IF(OR(Begegnungen!$C$3=C12,Begegnungen!$C$4=C12,Begegnungen!$C$5=C12,Begegnungen!$C$6=C12,Begegnungen!$C$7=C12,Begegnungen!$C$8=C12,Begegnungen!$C$9=C12),Begegnungen!$C$16,IF(OR(Begegnungen!$E$3=C12,Begegnungen!$E$4=C12,Begegnungen!$E$5=C12,Begegnungen!$E$6=C12,Begegnungen!$E$7=C12,Begegnungen!$E$8=C12,Begegnungen!$E$9=C12),Begegnungen!$E$16,""))</f>
        <v>1</v>
      </c>
      <c r="E12" s="66" t="str">
        <f>IF(OR(Begegnungen!$I$3=C12,Begegnungen!$I$4=C12,Begegnungen!$I$5=C12,Begegnungen!$I$6=C12,Begegnungen!$I$7=C12,Begegnungen!$I$8=C12,Begegnungen!$I$9=C12),Begegnungen!$I$16,IF(OR(Begegnungen!$K$3=C12,Begegnungen!$K$4=C12,Begegnungen!$K$5=C12,Begegnungen!$K$6=C12,Begegnungen!$K$7=C12,Begegnungen!$K$8=C12,Begegnungen!$K$9=C12),Begegnungen!$K$16,""))</f>
        <v/>
      </c>
      <c r="F12" s="66" t="str">
        <f>IF(OR(Begegnungen!$C$19=C12,Begegnungen!$C$20=C12,Begegnungen!$C$21=C12,Begegnungen!$C$22=C12,Begegnungen!$C$23=C12,Begegnungen!$C$24=C12,Begegnungen!$C$25=C12),Begegnungen!$C$32,IF(OR(Begegnungen!$E$19=C12,Begegnungen!$E$20=C12,Begegnungen!$E$21=C12,Begegnungen!$E$22=C12,Begegnungen!$E$23=C12,Begegnungen!$E$24=C12,Begegnungen!$E$25=C12),Begegnungen!$E$32,""))</f>
        <v/>
      </c>
      <c r="G12" s="66" t="str">
        <f>IF(OR(Begegnungen!$I$19=C12,Begegnungen!$I$20=C12,Begegnungen!$I$21=C12,Begegnungen!$I$22=C12,Begegnungen!$I$23=C12,Begegnungen!$I$24=C12,Begegnungen!$I$25=C12),Begegnungen!$I$32,IF(OR(Begegnungen!$K$19=C12,Begegnungen!$K$20=C12,Begegnungen!$K$21=C12,Begegnungen!$K$22=C12,Begegnungen!$K$23=C12,Begegnungen!$K$24=C12,Begegnungen!$K$25=C12),Begegnungen!$K$32,""))</f>
        <v/>
      </c>
      <c r="H12" s="66" t="str">
        <f>IF(OR(Begegnungen!$C$35=C12,Begegnungen!$C$36=C12,Begegnungen!$C$37=C12,Begegnungen!$C$38=C12,Begegnungen!$C$39=C12,Begegnungen!$C$40=C12,Begegnungen!$C$41=C12),Begegnungen!$C$49,IF(OR(Begegnungen!$E$35=C12,Begegnungen!$E$36=C12,Begegnungen!$E$37=C12,Begegnungen!$E$38=C12,Begegnungen!$E$39=C12,Begegnungen!$E$40=C12,Begegnungen!$E$41=C12),Begegnungen!$E$49,""))</f>
        <v>3</v>
      </c>
      <c r="I12" s="66" t="str">
        <f>IF(OR(Begegnungen!$I$35=C12,Begegnungen!$I$36=C12,Begegnungen!$I$37=C12,Begegnungen!$I$38=C12,Begegnungen!$I$39=C12,Begegnungen!$I$40=C12,Begegnungen!$I$41=C12),Begegnungen!$I$49,IF(OR(Begegnungen!$K$35=C12,Begegnungen!$K$36=C12,Begegnungen!$K$37=C12,Begegnungen!$K$38=C12,Begegnungen!$K$39=C12,Begegnungen!$K$40=C12,Begegnungen!$K$41=C12),Begegnungen!$K$49,""))</f>
        <v>1</v>
      </c>
      <c r="J12" s="66" t="str">
        <f>IF(OR(Begegnungen!$C$52=C12,Begegnungen!$C$53=C12,Begegnungen!$C$54=C12,Begegnungen!$C$55=C12,Begegnungen!$C$56=C12,Begegnungen!$C$57=C12,Begegnungen!$C$58=C12),Begegnungen!$C$65,IF(OR(Begegnungen!$E$52=C12,Begegnungen!$E$53=C12,Begegnungen!$E$54=C12,Begegnungen!$E$55=C12,Begegnungen!$E$56=C12,Begegnungen!$E$57=C12,Begegnungen!$E$58=C12),Begegnungen!$E$65,""))</f>
        <v>0</v>
      </c>
      <c r="K12" s="66" t="str">
        <f>IF(OR(Begegnungen!$I$52=C12,Begegnungen!$I$53=C12,Begegnungen!$I$54=C12,Begegnungen!$I$55=C12,Begegnungen!$I$56=C12,Begegnungen!$I$57=C12,Begegnungen!$I$58=C12),Begegnungen!$I$65,IF(OR(Begegnungen!$K$52=C12,Begegnungen!$K$53=C12,Begegnungen!$K$54=C12,Begegnungen!$K$55=C12,Begegnungen!$K$56=C12,Begegnungen!$K$57=C12,Begegnungen!$K$58=C12),Begegnungen!$K$65,""))</f>
        <v>3</v>
      </c>
      <c r="L12" s="136" t="str">
        <f>IF(OR(Begegnungen!$C$68=C12,Begegnungen!$C$69=C12,Begegnungen!$C$70=C12,Begegnungen!$C$71=C12,Begegnungen!$C$72=C12,Begegnungen!$C$73=C12,Begegnungen!$C$74=C12),Begegnungen!$C$81,IF(OR(Begegnungen!$E$68=C12,Begegnungen!$E$69=C12,Begegnungen!$E$70=C12,Begegnungen!$E$71=C12,Begegnungen!$E$72=C12,Begegnungen!$E$73=C12,Begegnungen!$E$74=C12),Begegnungen!$E$81,""))</f>
        <v>3</v>
      </c>
      <c r="M12" s="66" t="str">
        <f>IF(OR(Begegnungen!$I$68=C12,Begegnungen!$I$69=C12,Begegnungen!$I$70=C12,Begegnungen!$I$71=C12,Begegnungen!$I$72=C12,Begegnungen!$I$73=C12,Begegnungen!$I$74=C12),Begegnungen!$I$81,IF(OR(Begegnungen!$K$68=C12,Begegnungen!$K$69=C12,Begegnungen!$K$70=C12,Begegnungen!$K$71=C12,Begegnungen!$K$72=C12,Begegnungen!$K$73=C12,Begegnungen!$K$74=C12),Begegnungen!$K$81,""))</f>
        <v/>
      </c>
      <c r="N12" s="66" t="str">
        <f>IF(OR(Begegnungen!$C$84=C12,Begegnungen!$C$85=C12,Begegnungen!$C$86=C12,Begegnungen!$C$87=C12,Begegnungen!$C$88=C12,Begegnungen!$C$89=C12,Begegnungen!$C$90=C12),Begegnungen!$C$98,IF(OR(Begegnungen!$E$84=C12,Begegnungen!$E$85=C12,Begegnungen!$E$86=C12,Begegnungen!$E$87=C12,Begegnungen!$E$88=C12,Begegnungen!$E$89=C12,Begegnungen!$E$90=C12),Begegnungen!$E$98,""))</f>
        <v>3</v>
      </c>
      <c r="O12" s="66" t="str">
        <f>IF(OR(Begegnungen!$I$84=C12,Begegnungen!$I$85=C12,Begegnungen!$I$86=C12,Begegnungen!$I$87=C12,Begegnungen!$I$88=C12,Begegnungen!$I$89=C12,Begegnungen!$I$90=C12),Begegnungen!$I$98,IF(OR(Begegnungen!$K$84=C12,Begegnungen!$K$85=C12,Begegnungen!$K$86=C12,Begegnungen!$K$87=C12,Begegnungen!$K$88=C12,Begegnungen!$K$89=C12,Begegnungen!$K$90=C12),Begegnungen!$K$98,""))</f>
        <v>0</v>
      </c>
      <c r="P12" s="66" t="str">
        <f>IF(OR(Begegnungen!$C$101=C12,Begegnungen!$C$102=C12,Begegnungen!$C$103=C12,Begegnungen!$C$104=C12,Begegnungen!$C$105=C12,Begegnungen!$C$106=C12,Begegnungen!$C$107=C12),Begegnungen!$C$114,IF(OR(Begegnungen!$E$101=C12,Begegnungen!$E$102=C12,Begegnungen!$E$103=C12,Begegnungen!$E$104=C12,Begegnungen!$E$105=C12,Begegnungen!$E$106=C12,Begegnungen!$E$107=C12),Begegnungen!$E$114,""))</f>
        <v>0</v>
      </c>
      <c r="Q12" s="66" t="str">
        <f>IF(OR(Begegnungen!$I$101=C12,Begegnungen!$I$102=C12,Begegnungen!$I$103=C12,Begegnungen!$I$104=C12,Begegnungen!$I$105=C12,Begegnungen!$I$106=C12,Begegnungen!$I$107=C12),Begegnungen!$I$114,IF(OR(Begegnungen!$K$101=C12,Begegnungen!$K$102=C12,Begegnungen!$K$103=C12,Begegnungen!$K$104=C12,Begegnungen!$K$105=C12,Begegnungen!$K$106=C12,Begegnungen!$K$107=C12),Begegnungen!$K$114,""))</f>
        <v>3</v>
      </c>
      <c r="R12" s="136" t="str">
        <f>IF(OR(Begegnungen!$C$117=C12,Begegnungen!$C$118=C12,Begegnungen!$C$119=C12,Begegnungen!$C$120=C12,Begegnungen!$C$121=C12,Begegnungen!$C$122=C12,Begegnungen!$C$123=C12),Begegnungen!$C$130,IF(OR(Begegnungen!$E$117=C12,Begegnungen!$E$118=C12,Begegnungen!$E$119=C12,Begegnungen!$E$120=C12,Begegnungen!$E$121=C12,Begegnungen!$E$122=C12,Begegnungen!$E$123=C12),Begegnungen!$E$130,""))</f>
        <v>0</v>
      </c>
      <c r="S12" s="66" t="str">
        <f>IF(OR(Begegnungen!$I$117=C12,Begegnungen!$I$118=C12,Begegnungen!$I$119=C12,Begegnungen!$I$120=C12,Begegnungen!$I$121=C12,Begegnungen!$I$122=C12,Begegnungen!$I$123=C12),Begegnungen!$I$130,IF(OR(Begegnungen!$K$117=C12,Begegnungen!$K$118=C12,Begegnungen!$K$119=C12,Begegnungen!$K$120=C12,Begegnungen!$K$121=C12,Begegnungen!$K$122=C12,Begegnungen!$K$123=C12),Begegnungen!$K$130,""))</f>
        <v/>
      </c>
      <c r="T12" s="66" t="str">
        <f>IF(OR(Begegnungen!$C$133=C12,Begegnungen!$C$134=C12,Begegnungen!$C$135=C12,Begegnungen!$C$136=C12,Begegnungen!$C$137=C12,Begegnungen!$C$138=C12,Begegnungen!$C$139=C12),Begegnungen!$C$146,IF(OR(Begegnungen!$E$133=C12,Begegnungen!$E$134=C12,Begegnungen!$E$135=C12,Begegnungen!$E$136=C12,Begegnungen!$E$137=C12,Begegnungen!$E$138=C12,Begegnungen!$E$139=C12),Begegnungen!$E$146,""))</f>
        <v>0</v>
      </c>
      <c r="U12" s="66" t="str">
        <f>IF(OR(Begegnungen!$I$133=C12,Begegnungen!$I$134=C12,Begegnungen!$I$135=C12,Begegnungen!$I$136=C12,Begegnungen!$I$137=C12,Begegnungen!$I$138=C12,Begegnungen!$I$139=C12),Begegnungen!$I$146,IF(OR(Begegnungen!$K$133=C12,Begegnungen!$K$134=C12,Begegnungen!$K$135=C12,Begegnungen!$K$136=C12,Begegnungen!$K$137=C12,Begegnungen!$K$138=C12,Begegnungen!$K$139=C12),Begegnungen!$K$146,""))</f>
        <v/>
      </c>
      <c r="V12" s="66" t="str">
        <f>IF(OR(Begegnungen!$C$149=C12,Begegnungen!$C$150=C12,Begegnungen!$C$151=C12,Begegnungen!$C$152=C12,Begegnungen!$C$153=C12,Begegnungen!$C$154=C12,Begegnungen!$C$155=C12),Begegnungen!$C$162,IF(OR(Begegnungen!$E$149=C12,Begegnungen!$E$150=C12,Begegnungen!$E$151=C12,Begegnungen!$E$152=C12,Begegnungen!$E$153=C12,Begegnungen!$E$154=C12,Begegnungen!$E$155=C12),Begegnungen!$E$162,""))</f>
        <v/>
      </c>
      <c r="W12" s="66" t="str">
        <f>IF(OR(Begegnungen!$I$149=C12,Begegnungen!$I$150=C12,Begegnungen!$I$151=C12,Begegnungen!$I$152=C12,Begegnungen!$I$153=C12,Begegnungen!$I$154=C12,Begegnungen!$I$155=C12),Begegnungen!$I$162,IF(OR(Begegnungen!$K$149=C12,Begegnungen!$K$150=C12,Begegnungen!$K$151=C12,Begegnungen!$K$152=C12,Begegnungen!$K$153=C12,Begegnungen!$K$154=C12,Begegnungen!$K$155=C12),Begegnungen!$K$162,""))</f>
        <v>0</v>
      </c>
      <c r="X12" s="66" t="str">
        <f>IF(OR(Begegnungen!$C$165=C12,Begegnungen!$C$166=C12,Begegnungen!$C$167=C12,Begegnungen!$C$168=C12,Begegnungen!$C$169=C12,Begegnungen!$C$170=C12,Begegnungen!$C$171=C12),Begegnungen!$C$178,IF(OR(Begegnungen!$E$165=C12,Begegnungen!$E$166=C12,Begegnungen!$E$167=C12,Begegnungen!$E$168=C12,Begegnungen!$E$169=C12,Begegnungen!$E$170=C12,Begegnungen!$E$171=C12),Begegnungen!$E$178,""))</f>
        <v>0</v>
      </c>
      <c r="Y12" s="66" t="str">
        <f>IF(OR(Begegnungen!$I$165=C12,Begegnungen!$I$166=C12,Begegnungen!$I$167=C12,Begegnungen!$I$168=C12,Begegnungen!$I$169=C12,Begegnungen!$I$170=C12,Begegnungen!$I$171=C12),Begegnungen!$I$178,IF(OR(Begegnungen!$K$165=C12,Begegnungen!$K$166=C12,Begegnungen!$K$167=C12,Begegnungen!$K$168=C12,Begegnungen!$K$169=C12,Begegnungen!$K$170=C12,Begegnungen!$K$171=C12),Begegnungen!$K$178,""))</f>
        <v>0</v>
      </c>
      <c r="Z12" s="66" t="str">
        <f>IF(OR(Begegnungen!$C$181=C12,Begegnungen!$C$182=C12,Begegnungen!$C$183=C12,Begegnungen!$C$184=C12,Begegnungen!$C$185=C12,Begegnungen!$C$186=C12,Begegnungen!$C$187=C12),Begegnungen!$C$194,IF(OR(Begegnungen!$E$181=C12,Begegnungen!$E$182=C12,Begegnungen!$E$183=C12,Begegnungen!$E$184=C12,Begegnungen!$E$185=C12,Begegnungen!$E$186=C12,Begegnungen!$E$187=C12),Begegnungen!$E$194,""))</f>
        <v>3</v>
      </c>
      <c r="AA12" s="66" t="str">
        <f>IF(OR(Begegnungen!$I$181=C12,Begegnungen!$I$182=C12,Begegnungen!$I$183=C12,Begegnungen!$I$184=C12,Begegnungen!$I$185=C12,Begegnungen!$I$186=C12,Begegnungen!$I$187=C12),Begegnungen!$I$194,IF(OR(Begegnungen!$K$181=C12,Begegnungen!$K$182=C12,Begegnungen!$K$183=C12,Begegnungen!$K$184=C12,Begegnungen!$K$185=C12,Begegnungen!$K$186=C12,Begegnungen!$K$187=C12),Begegnungen!$K$194,""))</f>
        <v>3</v>
      </c>
      <c r="AB12" s="66" t="str">
        <f>IF(OR(Begegnungen!$C$197=C12,Begegnungen!$C$198=C12,Begegnungen!$C$199=C12,Begegnungen!$C$200=C12,Begegnungen!$C$201=C12,Begegnungen!$C$202=C12,Begegnungen!$C$203=C12),Begegnungen!$C$210,IF(OR(Begegnungen!$E$197=C12,Begegnungen!$E$198=C12,Begegnungen!$E$199=C12,Begegnungen!$E$200=C12,Begegnungen!$E$201=C12,Begegnungen!$E$202=C12,Begegnungen!$E$203=C12),Begegnungen!$E$210,""))</f>
        <v>0</v>
      </c>
      <c r="AC12" s="66" t="str">
        <f>IF(OR(Begegnungen!$I$197=C12,Begegnungen!$I$198=C12,Begegnungen!$I$199=C12,Begegnungen!$I$200=C12,Begegnungen!$I$201=C12,Begegnungen!$I$202=C12,Begegnungen!$I$203=C12),Begegnungen!$I$210,IF(OR(Begegnungen!$K$197=C12,Begegnungen!$K$198=C12,Begegnungen!$K$199=C12,Begegnungen!$K$200=C12,Begegnungen!$K$201=C12,Begegnungen!$K$202=C12,Begegnungen!$K$203=C12),Begegnungen!$K$210,""))</f>
        <v>3</v>
      </c>
      <c r="AD12" s="66" t="str">
        <f>IF(OR(Begegnungen!$C$213=C12,Begegnungen!$C$214=C12,Begegnungen!$C$215=C12,Begegnungen!$C$216=C12,Begegnungen!$C$217=C12,Begegnungen!$C$218=C12,Begegnungen!$C$219=C12),Begegnungen!$C$226,IF(OR(Begegnungen!$E$213=C12,Begegnungen!$E$214=C12,Begegnungen!$E$215=C12,Begegnungen!$E$216=C12,Begegnungen!$E$217=C12,Begegnungen!$E$218=C12,Begegnungen!$E$219=C12),Begegnungen!$E$226,""))</f>
        <v>3</v>
      </c>
      <c r="AE12" s="66" t="str">
        <f>IF(OR(Begegnungen!$I$213=C12,Begegnungen!$I$214=C12,Begegnungen!$I$215=C12,Begegnungen!$I$216=C12,Begegnungen!$I$217=C12,Begegnungen!$I$218=C12,Begegnungen!$I$219=C12),Begegnungen!$I$226,IF(OR(Begegnungen!$K$213=C12,Begegnungen!$K$214=C12,Begegnungen!$K$215=C12,Begegnungen!$K$216=C12,Begegnungen!$K$217=C12,Begegnungen!$K$218=C12,Begegnungen!$K$219=C12),Begegnungen!$K$226,""))</f>
        <v>0</v>
      </c>
      <c r="AF12" s="136" t="str">
        <f>IF(OR(Begegnungen!$C$229=C12,Begegnungen!$C$230=C12,Begegnungen!$C$231=C12,Begegnungen!$C$232=C12,Begegnungen!$C$233=C12,Begegnungen!$C$234=C12,Begegnungen!$C$235=C12),Begegnungen!$C$242,IF(OR(Begegnungen!$E$229=C12,Begegnungen!$E$230=C12,Begegnungen!$E$231=C12,Begegnungen!$E$232=C12,Begegnungen!$E$233=C12,Begegnungen!$E$234=C12,Begegnungen!$E$235=C12),Begegnungen!$E$242,""))</f>
        <v>0</v>
      </c>
      <c r="AG12" s="66" t="str">
        <f>IF(OR(Begegnungen!$I$229=C12,Begegnungen!$I$230=C12,Begegnungen!$I$231=C12,Begegnungen!$I$232=C12,Begegnungen!$I$233=C12,Begegnungen!$I$234=C12,Begegnungen!$I$235=C12),Begegnungen!$I$242,IF(OR(Begegnungen!$K$229=C12,Begegnungen!$K$230=C12,Begegnungen!$K$231=C12,Begegnungen!$K$232=C12,Begegnungen!$K$233=C12,Begegnungen!$K$234=C12,Begegnungen!$K$235=C12),Begegnungen!$K$242,""))</f>
        <v>0</v>
      </c>
      <c r="AH12" s="66" t="str">
        <f>IF(OR(Begegnungen!$C$245=C12,Begegnungen!$C$246=C12,Begegnungen!$C$247=C12,Begegnungen!$C$248=C12,Begegnungen!$C$249=C12,Begegnungen!$C$250=C12,Begegnungen!$C$251=C12),Begegnungen!$C$258,IF(OR(Begegnungen!$E$245=C12,Begegnungen!$E$246=C12,Begegnungen!$E$247=C12,Begegnungen!$E$248=C12,Begegnungen!$E$249=C12,Begegnungen!$E$250=C12,Begegnungen!$E$251=C12),Begegnungen!$E$258,""))</f>
        <v>3</v>
      </c>
      <c r="AI12" s="66" t="str">
        <f>IF(OR(Begegnungen!$I$245=C12,Begegnungen!$I$246=C12,Begegnungen!$I$247=C12,Begegnungen!$I$248=C12,Begegnungen!$I$249=C12,Begegnungen!$I$250=C12,Begegnungen!$I$251=C12),Begegnungen!$I$258,IF(OR(Begegnungen!$K$245=C12,Begegnungen!$K$246=C12,Begegnungen!$K$247=C12,Begegnungen!$K$248=C12,Begegnungen!$K$249=C12,Begegnungen!$K$250=C12,Begegnungen!$K$251=C12),Begegnungen!$K$258,""))</f>
        <v>0</v>
      </c>
      <c r="AJ12" s="66" t="str">
        <f>IF(OR(Begegnungen!$C$261=C12,Begegnungen!$C$262=C12,Begegnungen!$C$263=C12,Begegnungen!$C$264=C12,Begegnungen!$C$265=C12,Begegnungen!$C$266=C12,Begegnungen!$C$267=C12),Begegnungen!$C$274,IF(OR(Begegnungen!$E$261=C12,Begegnungen!$E$262=C12,Begegnungen!$E$263=C12,Begegnungen!$E$264=C12,Begegnungen!$E$265=C12,Begegnungen!$E$266=C12,Begegnungen!$E$267=C12),Begegnungen!$E$274,""))</f>
        <v>3</v>
      </c>
      <c r="AK12" s="66" t="str">
        <f>IF(OR(Begegnungen!$I$261=C12,Begegnungen!$I$262=C12,Begegnungen!$I$263=C12,Begegnungen!$I$264=C12,Begegnungen!$I$265=C12,Begegnungen!$I$266=C12,Begegnungen!$I$267=C12),Begegnungen!$I$274,IF(OR(Begegnungen!$K$261=C12,Begegnungen!$K$262=C12,Begegnungen!$K$263=C12,Begegnungen!$K$264=C12,Begegnungen!$K$265=C12,Begegnungen!$K$266=C12,Begegnungen!$K$267=C12),Begegnungen!$K$274,""))</f>
        <v>1</v>
      </c>
      <c r="AL12" s="66" t="str">
        <f>IF(OR(Begegnungen!$C$277=C12,Begegnungen!$C$278=C12,Begegnungen!$C$279=C12,Begegnungen!$C$280=C12,Begegnungen!$C$281=C12,Begegnungen!$C$282=C12,Begegnungen!$C$283=C12),Begegnungen!$C$290,IF(OR(Begegnungen!$E$277=C12,Begegnungen!$E$278=C12,Begegnungen!$E$279=C12,Begegnungen!$E$280=C12,Begegnungen!$E$281=C12,Begegnungen!$E$282=C12,Begegnungen!$E$283=C12),Begegnungen!$E$290,""))</f>
        <v>3</v>
      </c>
      <c r="AM12" s="136" t="str">
        <f>IF(OR(Begegnungen!$I$277=C12,Begegnungen!$I$278=C12,Begegnungen!$I$279=C12,Begegnungen!$I$280=C12,Begegnungen!$I$281=C12,Begegnungen!$I$282=C12,Begegnungen!$I$283=C12),Begegnungen!$I$290,IF(OR(Begegnungen!$K$277=C12,Begegnungen!$K$278=C12,Begegnungen!$K$279=C12,Begegnungen!$K$280=C12,Begegnungen!$K$281=C12,Begegnungen!$K$282=C12,Begegnungen!$K$283=C12),Begegnungen!$K$290,""))</f>
        <v>3</v>
      </c>
      <c r="AN12" s="66" t="str">
        <f>IF(OR(Begegnungen!$C$293=C12,Begegnungen!$C$294=C12,Begegnungen!$C$295=C12,Begegnungen!$C$296=C12,Begegnungen!$C$297=C12,Begegnungen!$C$298=C12,Begegnungen!$C$299=C12),Begegnungen!$C$306,IF(OR(Begegnungen!$E$293=C12,Begegnungen!$E$294=C12,Begegnungen!$E$295=C12,Begegnungen!$E$296=C12,Begegnungen!$E$297=C12,Begegnungen!$E$298=C12,Begegnungen!$E$299=C12),Begegnungen!$E$306,""))</f>
        <v>3</v>
      </c>
      <c r="AO12" s="136" t="str">
        <f>IF(OR(Begegnungen!$I$293=C12,Begegnungen!$I$294=C12,Begegnungen!$I$295=C12,Begegnungen!$I$296=C12,Begegnungen!$I$297=C12,Begegnungen!$I$298=C12,Begegnungen!$I$299=C12),Begegnungen!$I$306,IF(OR(Begegnungen!$K$293=C12,Begegnungen!$K$294=C12,Begegnungen!$K$295=C12,Begegnungen!$K$296=C12,Begegnungen!$K$297=C12,Begegnungen!$K$298=C12,Begegnungen!$K$299=C12),Begegnungen!$K$306,""))</f>
        <v>3</v>
      </c>
      <c r="AP12" s="136" t="str">
        <f>IF(OR(Begegnungen!$C$309=C12,Begegnungen!$C$310=C12,Begegnungen!$C$311=C12,Begegnungen!$C$312=C12,Begegnungen!$C$313=C12,Begegnungen!$C$314=C12,Begegnungen!$C$315=C12),Begegnungen!$C$322,IF(OR(Begegnungen!$E$309=C12,Begegnungen!$E$310=C12,Begegnungen!$E$311=C12,Begegnungen!$E$312=C12,Begegnungen!$E$313=C12,Begegnungen!$E$314=C12,Begegnungen!$E$315=C12),Begegnungen!$E$322,""))</f>
        <v>3</v>
      </c>
      <c r="AQ12" s="66" t="str">
        <f>IF(OR(Begegnungen!$I$309=C12,Begegnungen!$I$310=C12,Begegnungen!$I$311=C12,Begegnungen!$I$312=C12,Begegnungen!$I$313=C12,Begegnungen!$I$314=C12,Begegnungen!$I$315=C12),Begegnungen!$I$322,IF(OR(Begegnungen!$K$309=C12,Begegnungen!$K$310=C12,Begegnungen!$K$311=C12,Begegnungen!$K$312=C12,Begegnungen!$K$313=C12,Begegnungen!$K$314=C12,Begegnungen!$K$315=C12),Begegnungen!$K$322,""))</f>
        <v>0</v>
      </c>
      <c r="AR12" s="18">
        <f t="shared" si="2"/>
        <v>51</v>
      </c>
      <c r="AS12" s="19">
        <f t="shared" si="0"/>
        <v>33</v>
      </c>
      <c r="AT12" s="22">
        <f t="shared" si="1"/>
        <v>1.6500000000000001</v>
      </c>
      <c r="AU12" s="23">
        <f t="shared" si="3"/>
        <v>3.1954545454545453</v>
      </c>
      <c r="AW12" s="70">
        <f t="shared" si="4"/>
        <v>16</v>
      </c>
      <c r="AX12" s="30">
        <f t="shared" si="5"/>
        <v>3</v>
      </c>
      <c r="AY12" s="71">
        <f t="shared" si="6"/>
        <v>14</v>
      </c>
    </row>
    <row r="13" spans="2:51" x14ac:dyDescent="0.25">
      <c r="B13" s="3">
        <v>8</v>
      </c>
      <c r="C13" s="65" t="s">
        <v>26</v>
      </c>
      <c r="D13" s="66" t="str">
        <f>IF(OR(Begegnungen!$C$3=C13,Begegnungen!$C$4=C13,Begegnungen!$C$5=C13,Begegnungen!$C$6=C13,Begegnungen!$C$7=C13,Begegnungen!$C$8=C13,Begegnungen!$C$9=C13),Begegnungen!$C$16,IF(OR(Begegnungen!$E$3=C13,Begegnungen!$E$4=C13,Begegnungen!$E$5=C13,Begegnungen!$E$6=C13,Begegnungen!$E$7=C13,Begegnungen!$E$8=C13,Begegnungen!$E$9=C13),Begegnungen!$E$16,""))</f>
        <v/>
      </c>
      <c r="E13" s="66" t="str">
        <f>IF(OR(Begegnungen!$I$3=C13,Begegnungen!$I$4=C13,Begegnungen!$I$5=C13,Begegnungen!$I$6=C13,Begegnungen!$I$7=C13,Begegnungen!$I$8=C13,Begegnungen!$I$9=C13),Begegnungen!$I$16,IF(OR(Begegnungen!$K$3=C13,Begegnungen!$K$4=C13,Begegnungen!$K$5=C13,Begegnungen!$K$6=C13,Begegnungen!$K$7=C13,Begegnungen!$K$8=C13,Begegnungen!$K$9=C13),Begegnungen!$K$16,""))</f>
        <v/>
      </c>
      <c r="F13" s="66" t="str">
        <f>IF(OR(Begegnungen!$C$19=C13,Begegnungen!$C$20=C13,Begegnungen!$C$21=C13,Begegnungen!$C$22=C13,Begegnungen!$C$23=C13,Begegnungen!$C$24=C13,Begegnungen!$C$25=C13),Begegnungen!$C$32,IF(OR(Begegnungen!$E$19=C13,Begegnungen!$E$20=C13,Begegnungen!$E$21=C13,Begegnungen!$E$22=C13,Begegnungen!$E$23=C13,Begegnungen!$E$24=C13,Begegnungen!$E$25=C13),Begegnungen!$E$32,""))</f>
        <v/>
      </c>
      <c r="G13" s="66" t="str">
        <f>IF(OR(Begegnungen!$I$19=C13,Begegnungen!$I$20=C13,Begegnungen!$I$21=C13,Begegnungen!$I$22=C13,Begegnungen!$I$23=C13,Begegnungen!$I$24=C13,Begegnungen!$I$25=C13),Begegnungen!$I$32,IF(OR(Begegnungen!$K$19=C13,Begegnungen!$K$20=C13,Begegnungen!$K$21=C13,Begegnungen!$K$22=C13,Begegnungen!$K$23=C13,Begegnungen!$K$24=C13,Begegnungen!$K$25=C13),Begegnungen!$K$32,""))</f>
        <v/>
      </c>
      <c r="H13" s="66" t="str">
        <f>IF(OR(Begegnungen!$C$35=C13,Begegnungen!$C$36=C13,Begegnungen!$C$37=C13,Begegnungen!$C$38=C13,Begegnungen!$C$39=C13,Begegnungen!$C$40=C13,Begegnungen!$C$41=C13),Begegnungen!$C$49,IF(OR(Begegnungen!$E$35=C13,Begegnungen!$E$36=C13,Begegnungen!$E$37=C13,Begegnungen!$E$38=C13,Begegnungen!$E$39=C13,Begegnungen!$E$40=C13,Begegnungen!$E$41=C13),Begegnungen!$E$49,""))</f>
        <v/>
      </c>
      <c r="I13" s="66" t="str">
        <f>IF(OR(Begegnungen!$I$35=C13,Begegnungen!$I$36=C13,Begegnungen!$I$37=C13,Begegnungen!$I$38=C13,Begegnungen!$I$39=C13,Begegnungen!$I$40=C13,Begegnungen!$I$41=C13),Begegnungen!$I$49,IF(OR(Begegnungen!$K$35=C13,Begegnungen!$K$36=C13,Begegnungen!$K$37=C13,Begegnungen!$K$38=C13,Begegnungen!$K$39=C13,Begegnungen!$K$40=C13,Begegnungen!$K$41=C13),Begegnungen!$K$49,""))</f>
        <v/>
      </c>
      <c r="J13" s="66" t="str">
        <f>IF(OR(Begegnungen!$C$52=C13,Begegnungen!$C$53=C13,Begegnungen!$C$54=C13,Begegnungen!$C$55=C13,Begegnungen!$C$56=C13,Begegnungen!$C$57=C13,Begegnungen!$C$58=C13),Begegnungen!$C$65,IF(OR(Begegnungen!$E$52=C13,Begegnungen!$E$53=C13,Begegnungen!$E$54=C13,Begegnungen!$E$55=C13,Begegnungen!$E$56=C13,Begegnungen!$E$57=C13,Begegnungen!$E$58=C13),Begegnungen!$E$65,""))</f>
        <v/>
      </c>
      <c r="K13" s="66" t="str">
        <f>IF(OR(Begegnungen!$I$52=C13,Begegnungen!$I$53=C13,Begegnungen!$I$54=C13,Begegnungen!$I$55=C13,Begegnungen!$I$56=C13,Begegnungen!$I$57=C13,Begegnungen!$I$58=C13),Begegnungen!$I$65,IF(OR(Begegnungen!$K$52=C13,Begegnungen!$K$53=C13,Begegnungen!$K$54=C13,Begegnungen!$K$55=C13,Begegnungen!$K$56=C13,Begegnungen!$K$57=C13,Begegnungen!$K$58=C13),Begegnungen!$K$65,""))</f>
        <v/>
      </c>
      <c r="L13" s="136" t="str">
        <f>IF(OR(Begegnungen!$C$68=C13,Begegnungen!$C$69=C13,Begegnungen!$C$70=C13,Begegnungen!$C$71=C13,Begegnungen!$C$72=C13,Begegnungen!$C$73=C13,Begegnungen!$C$74=C13),Begegnungen!$C$81,IF(OR(Begegnungen!$E$68=C13,Begegnungen!$E$69=C13,Begegnungen!$E$70=C13,Begegnungen!$E$71=C13,Begegnungen!$E$72=C13,Begegnungen!$E$73=C13,Begegnungen!$E$74=C13),Begegnungen!$E$81,""))</f>
        <v/>
      </c>
      <c r="M13" s="66" t="str">
        <f>IF(OR(Begegnungen!$I$68=C13,Begegnungen!$I$69=C13,Begegnungen!$I$70=C13,Begegnungen!$I$71=C13,Begegnungen!$I$72=C13,Begegnungen!$I$73=C13,Begegnungen!$I$74=C13),Begegnungen!$I$81,IF(OR(Begegnungen!$K$68=C13,Begegnungen!$K$69=C13,Begegnungen!$K$70=C13,Begegnungen!$K$71=C13,Begegnungen!$K$72=C13,Begegnungen!$K$73=C13,Begegnungen!$K$74=C13),Begegnungen!$K$81,""))</f>
        <v/>
      </c>
      <c r="N13" s="66" t="str">
        <f>IF(OR(Begegnungen!$C$84=C13,Begegnungen!$C$85=C13,Begegnungen!$C$86=C13,Begegnungen!$C$87=C13,Begegnungen!$C$88=C13,Begegnungen!$C$89=C13,Begegnungen!$C$90=C13),Begegnungen!$C$98,IF(OR(Begegnungen!$E$84=C13,Begegnungen!$E$85=C13,Begegnungen!$E$86=C13,Begegnungen!$E$87=C13,Begegnungen!$E$88=C13,Begegnungen!$E$89=C13,Begegnungen!$E$90=C13),Begegnungen!$E$98,""))</f>
        <v/>
      </c>
      <c r="O13" s="66" t="str">
        <f>IF(OR(Begegnungen!$I$84=C13,Begegnungen!$I$85=C13,Begegnungen!$I$86=C13,Begegnungen!$I$87=C13,Begegnungen!$I$88=C13,Begegnungen!$I$89=C13,Begegnungen!$I$90=C13),Begegnungen!$I$98,IF(OR(Begegnungen!$K$84=C13,Begegnungen!$K$85=C13,Begegnungen!$K$86=C13,Begegnungen!$K$87=C13,Begegnungen!$K$88=C13,Begegnungen!$K$89=C13,Begegnungen!$K$90=C13),Begegnungen!$K$98,""))</f>
        <v/>
      </c>
      <c r="P13" s="66" t="str">
        <f>IF(OR(Begegnungen!$C$101=C13,Begegnungen!$C$102=C13,Begegnungen!$C$103=C13,Begegnungen!$C$104=C13,Begegnungen!$C$105=C13,Begegnungen!$C$106=C13,Begegnungen!$C$107=C13),Begegnungen!$C$114,IF(OR(Begegnungen!$E$101=C13,Begegnungen!$E$102=C13,Begegnungen!$E$103=C13,Begegnungen!$E$104=C13,Begegnungen!$E$105=C13,Begegnungen!$E$106=C13,Begegnungen!$E$107=C13),Begegnungen!$E$114,""))</f>
        <v/>
      </c>
      <c r="Q13" s="66" t="str">
        <f>IF(OR(Begegnungen!$I$101=C13,Begegnungen!$I$102=C13,Begegnungen!$I$103=C13,Begegnungen!$I$104=C13,Begegnungen!$I$105=C13,Begegnungen!$I$106=C13,Begegnungen!$I$107=C13),Begegnungen!$I$114,IF(OR(Begegnungen!$K$101=C13,Begegnungen!$K$102=C13,Begegnungen!$K$103=C13,Begegnungen!$K$104=C13,Begegnungen!$K$105=C13,Begegnungen!$K$106=C13,Begegnungen!$K$107=C13),Begegnungen!$K$114,""))</f>
        <v/>
      </c>
      <c r="R13" s="136" t="str">
        <f>IF(OR(Begegnungen!$C$117=C13,Begegnungen!$C$118=C13,Begegnungen!$C$119=C13,Begegnungen!$C$120=C13,Begegnungen!$C$121=C13,Begegnungen!$C$122=C13,Begegnungen!$C$123=C13),Begegnungen!$C$130,IF(OR(Begegnungen!$E$117=C13,Begegnungen!$E$118=C13,Begegnungen!$E$119=C13,Begegnungen!$E$120=C13,Begegnungen!$E$121=C13,Begegnungen!$E$122=C13,Begegnungen!$E$123=C13),Begegnungen!$E$130,""))</f>
        <v/>
      </c>
      <c r="S13" s="66" t="str">
        <f>IF(OR(Begegnungen!$I$117=C13,Begegnungen!$I$118=C13,Begegnungen!$I$119=C13,Begegnungen!$I$120=C13,Begegnungen!$I$121=C13,Begegnungen!$I$122=C13,Begegnungen!$I$123=C13),Begegnungen!$I$130,IF(OR(Begegnungen!$K$117=C13,Begegnungen!$K$118=C13,Begegnungen!$K$119=C13,Begegnungen!$K$120=C13,Begegnungen!$K$121=C13,Begegnungen!$K$122=C13,Begegnungen!$K$123=C13),Begegnungen!$K$130,""))</f>
        <v/>
      </c>
      <c r="T13" s="66" t="str">
        <f>IF(OR(Begegnungen!$C$133=C13,Begegnungen!$C$134=C13,Begegnungen!$C$135=C13,Begegnungen!$C$136=C13,Begegnungen!$C$137=C13,Begegnungen!$C$138=C13,Begegnungen!$C$139=C13),Begegnungen!$C$146,IF(OR(Begegnungen!$E$133=C13,Begegnungen!$E$134=C13,Begegnungen!$E$135=C13,Begegnungen!$E$136=C13,Begegnungen!$E$137=C13,Begegnungen!$E$138=C13,Begegnungen!$E$139=C13),Begegnungen!$E$146,""))</f>
        <v/>
      </c>
      <c r="U13" s="66" t="str">
        <f>IF(OR(Begegnungen!$I$133=C13,Begegnungen!$I$134=C13,Begegnungen!$I$135=C13,Begegnungen!$I$136=C13,Begegnungen!$I$137=C13,Begegnungen!$I$138=C13,Begegnungen!$I$139=C13),Begegnungen!$I$146,IF(OR(Begegnungen!$K$133=C13,Begegnungen!$K$134=C13,Begegnungen!$K$135=C13,Begegnungen!$K$136=C13,Begegnungen!$K$137=C13,Begegnungen!$K$138=C13,Begegnungen!$K$139=C13),Begegnungen!$K$146,""))</f>
        <v/>
      </c>
      <c r="V13" s="66" t="str">
        <f>IF(OR(Begegnungen!$C$149=C13,Begegnungen!$C$150=C13,Begegnungen!$C$151=C13,Begegnungen!$C$152=C13,Begegnungen!$C$153=C13,Begegnungen!$C$154=C13,Begegnungen!$C$155=C13),Begegnungen!$C$162,IF(OR(Begegnungen!$E$149=C13,Begegnungen!$E$150=C13,Begegnungen!$E$151=C13,Begegnungen!$E$152=C13,Begegnungen!$E$153=C13,Begegnungen!$E$154=C13,Begegnungen!$E$155=C13),Begegnungen!$E$162,""))</f>
        <v/>
      </c>
      <c r="W13" s="66" t="str">
        <f>IF(OR(Begegnungen!$I$149=C13,Begegnungen!$I$150=C13,Begegnungen!$I$151=C13,Begegnungen!$I$152=C13,Begegnungen!$I$153=C13,Begegnungen!$I$154=C13,Begegnungen!$I$155=C13),Begegnungen!$I$162,IF(OR(Begegnungen!$K$149=C13,Begegnungen!$K$150=C13,Begegnungen!$K$151=C13,Begegnungen!$K$152=C13,Begegnungen!$K$153=C13,Begegnungen!$K$154=C13,Begegnungen!$K$155=C13),Begegnungen!$K$162,""))</f>
        <v/>
      </c>
      <c r="X13" s="66" t="str">
        <f>IF(OR(Begegnungen!$C$165=C13,Begegnungen!$C$166=C13,Begegnungen!$C$167=C13,Begegnungen!$C$168=C13,Begegnungen!$C$169=C13,Begegnungen!$C$170=C13,Begegnungen!$C$171=C13),Begegnungen!$C$178,IF(OR(Begegnungen!$E$165=C13,Begegnungen!$E$166=C13,Begegnungen!$E$167=C13,Begegnungen!$E$168=C13,Begegnungen!$E$169=C13,Begegnungen!$E$170=C13,Begegnungen!$E$171=C13),Begegnungen!$E$178,""))</f>
        <v/>
      </c>
      <c r="Y13" s="66" t="str">
        <f>IF(OR(Begegnungen!$I$165=C13,Begegnungen!$I$166=C13,Begegnungen!$I$167=C13,Begegnungen!$I$168=C13,Begegnungen!$I$169=C13,Begegnungen!$I$170=C13,Begegnungen!$I$171=C13),Begegnungen!$I$178,IF(OR(Begegnungen!$K$165=C13,Begegnungen!$K$166=C13,Begegnungen!$K$167=C13,Begegnungen!$K$168=C13,Begegnungen!$K$169=C13,Begegnungen!$K$170=C13,Begegnungen!$K$171=C13),Begegnungen!$K$178,""))</f>
        <v/>
      </c>
      <c r="Z13" s="66" t="str">
        <f>IF(OR(Begegnungen!$C$181=C13,Begegnungen!$C$182=C13,Begegnungen!$C$183=C13,Begegnungen!$C$184=C13,Begegnungen!$C$185=C13,Begegnungen!$C$186=C13,Begegnungen!$C$187=C13),Begegnungen!$C$194,IF(OR(Begegnungen!$E$181=C13,Begegnungen!$E$182=C13,Begegnungen!$E$183=C13,Begegnungen!$E$184=C13,Begegnungen!$E$185=C13,Begegnungen!$E$186=C13,Begegnungen!$E$187=C13),Begegnungen!$E$194,""))</f>
        <v/>
      </c>
      <c r="AA13" s="66" t="str">
        <f>IF(OR(Begegnungen!$I$181=C13,Begegnungen!$I$182=C13,Begegnungen!$I$183=C13,Begegnungen!$I$184=C13,Begegnungen!$I$185=C13,Begegnungen!$I$186=C13,Begegnungen!$I$187=C13),Begegnungen!$I$194,IF(OR(Begegnungen!$K$181=C13,Begegnungen!$K$182=C13,Begegnungen!$K$183=C13,Begegnungen!$K$184=C13,Begegnungen!$K$185=C13,Begegnungen!$K$186=C13,Begegnungen!$K$187=C13),Begegnungen!$K$194,""))</f>
        <v/>
      </c>
      <c r="AB13" s="66" t="str">
        <f>IF(OR(Begegnungen!$C$197=C13,Begegnungen!$C$198=C13,Begegnungen!$C$199=C13,Begegnungen!$C$200=C13,Begegnungen!$C$201=C13,Begegnungen!$C$202=C13,Begegnungen!$C$203=C13),Begegnungen!$C$210,IF(OR(Begegnungen!$E$197=C13,Begegnungen!$E$198=C13,Begegnungen!$E$199=C13,Begegnungen!$E$200=C13,Begegnungen!$E$201=C13,Begegnungen!$E$202=C13,Begegnungen!$E$203=C13),Begegnungen!$E$210,""))</f>
        <v/>
      </c>
      <c r="AC13" s="66" t="str">
        <f>IF(OR(Begegnungen!$I$197=C13,Begegnungen!$I$198=C13,Begegnungen!$I$199=C13,Begegnungen!$I$200=C13,Begegnungen!$I$201=C13,Begegnungen!$I$202=C13,Begegnungen!$I$203=C13),Begegnungen!$I$210,IF(OR(Begegnungen!$K$197=C13,Begegnungen!$K$198=C13,Begegnungen!$K$199=C13,Begegnungen!$K$200=C13,Begegnungen!$K$201=C13,Begegnungen!$K$202=C13,Begegnungen!$K$203=C13),Begegnungen!$K$210,""))</f>
        <v/>
      </c>
      <c r="AD13" s="66" t="str">
        <f>IF(OR(Begegnungen!$C$213=C13,Begegnungen!$C$214=C13,Begegnungen!$C$215=C13,Begegnungen!$C$216=C13,Begegnungen!$C$217=C13,Begegnungen!$C$218=C13,Begegnungen!$C$219=C13),Begegnungen!$C$226,IF(OR(Begegnungen!$E$213=C13,Begegnungen!$E$214=C13,Begegnungen!$E$215=C13,Begegnungen!$E$216=C13,Begegnungen!$E$217=C13,Begegnungen!$E$218=C13,Begegnungen!$E$219=C13),Begegnungen!$E$226,""))</f>
        <v/>
      </c>
      <c r="AE13" s="66" t="str">
        <f>IF(OR(Begegnungen!$I$213=C13,Begegnungen!$I$214=C13,Begegnungen!$I$215=C13,Begegnungen!$I$216=C13,Begegnungen!$I$217=C13,Begegnungen!$I$218=C13,Begegnungen!$I$219=C13),Begegnungen!$I$226,IF(OR(Begegnungen!$K$213=C13,Begegnungen!$K$214=C13,Begegnungen!$K$215=C13,Begegnungen!$K$216=C13,Begegnungen!$K$217=C13,Begegnungen!$K$218=C13,Begegnungen!$K$219=C13),Begegnungen!$K$226,""))</f>
        <v/>
      </c>
      <c r="AF13" s="136" t="str">
        <f>IF(OR(Begegnungen!$C$229=C13,Begegnungen!$C$230=C13,Begegnungen!$C$231=C13,Begegnungen!$C$232=C13,Begegnungen!$C$233=C13,Begegnungen!$C$234=C13,Begegnungen!$C$235=C13),Begegnungen!$C$242,IF(OR(Begegnungen!$E$229=C13,Begegnungen!$E$230=C13,Begegnungen!$E$231=C13,Begegnungen!$E$232=C13,Begegnungen!$E$233=C13,Begegnungen!$E$234=C13,Begegnungen!$E$235=C13),Begegnungen!$E$242,""))</f>
        <v/>
      </c>
      <c r="AG13" s="66" t="str">
        <f>IF(OR(Begegnungen!$I$229=C13,Begegnungen!$I$230=C13,Begegnungen!$I$231=C13,Begegnungen!$I$232=C13,Begegnungen!$I$233=C13,Begegnungen!$I$234=C13,Begegnungen!$I$235=C13),Begegnungen!$I$242,IF(OR(Begegnungen!$K$229=C13,Begegnungen!$K$230=C13,Begegnungen!$K$231=C13,Begegnungen!$K$232=C13,Begegnungen!$K$233=C13,Begegnungen!$K$234=C13,Begegnungen!$K$235=C13),Begegnungen!$K$242,""))</f>
        <v/>
      </c>
      <c r="AH13" s="66" t="str">
        <f>IF(OR(Begegnungen!$C$245=C13,Begegnungen!$C$246=C13,Begegnungen!$C$247=C13,Begegnungen!$C$248=C13,Begegnungen!$C$249=C13,Begegnungen!$C$250=C13,Begegnungen!$C$251=C13),Begegnungen!$C$258,IF(OR(Begegnungen!$E$245=C13,Begegnungen!$E$246=C13,Begegnungen!$E$247=C13,Begegnungen!$E$248=C13,Begegnungen!$E$249=C13,Begegnungen!$E$250=C13,Begegnungen!$E$251=C13),Begegnungen!$E$258,""))</f>
        <v/>
      </c>
      <c r="AI13" s="66" t="str">
        <f>IF(OR(Begegnungen!$I$245=C13,Begegnungen!$I$246=C13,Begegnungen!$I$247=C13,Begegnungen!$I$248=C13,Begegnungen!$I$249=C13,Begegnungen!$I$250=C13,Begegnungen!$I$251=C13),Begegnungen!$I$258,IF(OR(Begegnungen!$K$245=C13,Begegnungen!$K$246=C13,Begegnungen!$K$247=C13,Begegnungen!$K$248=C13,Begegnungen!$K$249=C13,Begegnungen!$K$250=C13,Begegnungen!$K$251=C13),Begegnungen!$K$258,""))</f>
        <v/>
      </c>
      <c r="AJ13" s="66" t="str">
        <f>IF(OR(Begegnungen!$C$261=C13,Begegnungen!$C$262=C13,Begegnungen!$C$263=C13,Begegnungen!$C$264=C13,Begegnungen!$C$265=C13,Begegnungen!$C$266=C13,Begegnungen!$C$267=C13),Begegnungen!$C$274,IF(OR(Begegnungen!$E$261=C13,Begegnungen!$E$262=C13,Begegnungen!$E$263=C13,Begegnungen!$E$264=C13,Begegnungen!$E$265=C13,Begegnungen!$E$266=C13,Begegnungen!$E$267=C13),Begegnungen!$E$274,""))</f>
        <v/>
      </c>
      <c r="AK13" s="66" t="str">
        <f>IF(OR(Begegnungen!$I$261=C13,Begegnungen!$I$262=C13,Begegnungen!$I$263=C13,Begegnungen!$I$264=C13,Begegnungen!$I$265=C13,Begegnungen!$I$266=C13,Begegnungen!$I$267=C13),Begegnungen!$I$274,IF(OR(Begegnungen!$K$261=C13,Begegnungen!$K$262=C13,Begegnungen!$K$263=C13,Begegnungen!$K$264=C13,Begegnungen!$K$265=C13,Begegnungen!$K$266=C13,Begegnungen!$K$267=C13),Begegnungen!$K$274,""))</f>
        <v/>
      </c>
      <c r="AL13" s="66" t="str">
        <f>IF(OR(Begegnungen!$C$277=C13,Begegnungen!$C$278=C13,Begegnungen!$C$279=C13,Begegnungen!$C$280=C13,Begegnungen!$C$281=C13,Begegnungen!$C$282=C13,Begegnungen!$C$283=C13),Begegnungen!$C$290,IF(OR(Begegnungen!$E$277=C13,Begegnungen!$E$278=C13,Begegnungen!$E$279=C13,Begegnungen!$E$280=C13,Begegnungen!$E$281=C13,Begegnungen!$E$282=C13,Begegnungen!$E$283=C13),Begegnungen!$E$290,""))</f>
        <v/>
      </c>
      <c r="AM13" s="136" t="str">
        <f>IF(OR(Begegnungen!$I$277=C13,Begegnungen!$I$278=C13,Begegnungen!$I$279=C13,Begegnungen!$I$280=C13,Begegnungen!$I$281=C13,Begegnungen!$I$282=C13,Begegnungen!$I$283=C13),Begegnungen!$I$290,IF(OR(Begegnungen!$K$277=C13,Begegnungen!$K$278=C13,Begegnungen!$K$279=C13,Begegnungen!$K$280=C13,Begegnungen!$K$281=C13,Begegnungen!$K$282=C13,Begegnungen!$K$283=C13),Begegnungen!$K$290,""))</f>
        <v/>
      </c>
      <c r="AN13" s="66" t="str">
        <f>IF(OR(Begegnungen!$C$293=C13,Begegnungen!$C$294=C13,Begegnungen!$C$295=C13,Begegnungen!$C$296=C13,Begegnungen!$C$297=C13,Begegnungen!$C$298=C13,Begegnungen!$C$299=C13),Begegnungen!$C$306,IF(OR(Begegnungen!$E$293=C13,Begegnungen!$E$294=C13,Begegnungen!$E$295=C13,Begegnungen!$E$296=C13,Begegnungen!$E$297=C13,Begegnungen!$E$298=C13,Begegnungen!$E$299=C13),Begegnungen!$E$306,""))</f>
        <v/>
      </c>
      <c r="AO13" s="136" t="str">
        <f>IF(OR(Begegnungen!$I$293=C13,Begegnungen!$I$294=C13,Begegnungen!$I$295=C13,Begegnungen!$I$296=C13,Begegnungen!$I$297=C13,Begegnungen!$I$298=C13,Begegnungen!$I$299=C13),Begegnungen!$I$306,IF(OR(Begegnungen!$K$293=C13,Begegnungen!$K$294=C13,Begegnungen!$K$295=C13,Begegnungen!$K$296=C13,Begegnungen!$K$297=C13,Begegnungen!$K$298=C13,Begegnungen!$K$299=C13),Begegnungen!$K$306,""))</f>
        <v/>
      </c>
      <c r="AP13" s="136" t="str">
        <f>IF(OR(Begegnungen!$C$309=C13,Begegnungen!$C$310=C13,Begegnungen!$C$311=C13,Begegnungen!$C$312=C13,Begegnungen!$C$313=C13,Begegnungen!$C$314=C13,Begegnungen!$C$315=C13),Begegnungen!$C$322,IF(OR(Begegnungen!$E$309=C13,Begegnungen!$E$310=C13,Begegnungen!$E$311=C13,Begegnungen!$E$312=C13,Begegnungen!$E$313=C13,Begegnungen!$E$314=C13,Begegnungen!$E$315=C13),Begegnungen!$E$322,""))</f>
        <v/>
      </c>
      <c r="AQ13" s="66" t="str">
        <f>IF(OR(Begegnungen!$I$309=C13,Begegnungen!$I$310=C13,Begegnungen!$I$311=C13,Begegnungen!$I$312=C13,Begegnungen!$I$313=C13,Begegnungen!$I$314=C13,Begegnungen!$I$315=C13),Begegnungen!$I$322,IF(OR(Begegnungen!$K$309=C13,Begegnungen!$K$310=C13,Begegnungen!$K$311=C13,Begegnungen!$K$312=C13,Begegnungen!$K$313=C13,Begegnungen!$K$314=C13,Begegnungen!$K$315=C13),Begegnungen!$K$322,""))</f>
        <v/>
      </c>
      <c r="AR13" s="18">
        <f t="shared" si="2"/>
        <v>0</v>
      </c>
      <c r="AS13" s="19">
        <f t="shared" si="0"/>
        <v>0</v>
      </c>
      <c r="AT13" s="22">
        <f t="shared" si="1"/>
        <v>0</v>
      </c>
      <c r="AU13" s="23" t="e">
        <f t="shared" si="3"/>
        <v>#DIV/0!</v>
      </c>
      <c r="AW13" s="70">
        <f t="shared" si="4"/>
        <v>0</v>
      </c>
      <c r="AX13" s="30">
        <f t="shared" si="5"/>
        <v>0</v>
      </c>
      <c r="AY13" s="71">
        <f t="shared" si="6"/>
        <v>0</v>
      </c>
    </row>
    <row r="14" spans="2:51" x14ac:dyDescent="0.25">
      <c r="B14" s="3">
        <v>9</v>
      </c>
      <c r="C14" s="65" t="s">
        <v>18</v>
      </c>
      <c r="D14" s="66" t="str">
        <f>IF(OR(Begegnungen!$C$3=C14,Begegnungen!$C$4=C14,Begegnungen!$C$5=C14,Begegnungen!$C$6=C14,Begegnungen!$C$7=C14,Begegnungen!$C$8=C14,Begegnungen!$C$9=C14),Begegnungen!$C$16,IF(OR(Begegnungen!$E$3=C14,Begegnungen!$E$4=C14,Begegnungen!$E$5=C14,Begegnungen!$E$6=C14,Begegnungen!$E$7=C14,Begegnungen!$E$8=C14,Begegnungen!$E$9=C14),Begegnungen!$E$16,""))</f>
        <v/>
      </c>
      <c r="E14" s="66" t="str">
        <f>IF(OR(Begegnungen!$I$3=C14,Begegnungen!$I$4=C14,Begegnungen!$I$5=C14,Begegnungen!$I$6=C14,Begegnungen!$I$7=C14,Begegnungen!$I$8=C14,Begegnungen!$I$9=C14),Begegnungen!$I$16,IF(OR(Begegnungen!$K$3=C14,Begegnungen!$K$4=C14,Begegnungen!$K$5=C14,Begegnungen!$K$6=C14,Begegnungen!$K$7=C14,Begegnungen!$K$8=C14,Begegnungen!$K$9=C14),Begegnungen!$K$16,""))</f>
        <v/>
      </c>
      <c r="F14" s="66" t="str">
        <f>IF(OR(Begegnungen!$C$19=C14,Begegnungen!$C$20=C14,Begegnungen!$C$21=C14,Begegnungen!$C$22=C14,Begegnungen!$C$23=C14,Begegnungen!$C$24=C14,Begegnungen!$C$25=C14),Begegnungen!$C$32,IF(OR(Begegnungen!$E$19=C14,Begegnungen!$E$20=C14,Begegnungen!$E$21=C14,Begegnungen!$E$22=C14,Begegnungen!$E$23=C14,Begegnungen!$E$24=C14,Begegnungen!$E$25=C14),Begegnungen!$E$32,""))</f>
        <v/>
      </c>
      <c r="G14" s="66" t="str">
        <f>IF(OR(Begegnungen!$I$19=C14,Begegnungen!$I$20=C14,Begegnungen!$I$21=C14,Begegnungen!$I$22=C14,Begegnungen!$I$23=C14,Begegnungen!$I$24=C14,Begegnungen!$I$25=C14),Begegnungen!$I$32,IF(OR(Begegnungen!$K$19=C14,Begegnungen!$K$20=C14,Begegnungen!$K$21=C14,Begegnungen!$K$22=C14,Begegnungen!$K$23=C14,Begegnungen!$K$24=C14,Begegnungen!$K$25=C14),Begegnungen!$K$32,""))</f>
        <v/>
      </c>
      <c r="H14" s="66" t="str">
        <f>IF(OR(Begegnungen!$C$35=C14,Begegnungen!$C$36=C14,Begegnungen!$C$37=C14,Begegnungen!$C$38=C14,Begegnungen!$C$39=C14,Begegnungen!$C$40=C14,Begegnungen!$C$41=C14),Begegnungen!$C$49,IF(OR(Begegnungen!$E$35=C14,Begegnungen!$E$36=C14,Begegnungen!$E$37=C14,Begegnungen!$E$38=C14,Begegnungen!$E$39=C14,Begegnungen!$E$40=C14,Begegnungen!$E$41=C14),Begegnungen!$E$49,""))</f>
        <v/>
      </c>
      <c r="I14" s="66" t="str">
        <f>IF(OR(Begegnungen!$I$35=C14,Begegnungen!$I$36=C14,Begegnungen!$I$37=C14,Begegnungen!$I$38=C14,Begegnungen!$I$39=C14,Begegnungen!$I$40=C14,Begegnungen!$I$41=C14),Begegnungen!$I$49,IF(OR(Begegnungen!$K$35=C14,Begegnungen!$K$36=C14,Begegnungen!$K$37=C14,Begegnungen!$K$38=C14,Begegnungen!$K$39=C14,Begegnungen!$K$40=C14,Begegnungen!$K$41=C14),Begegnungen!$K$49,""))</f>
        <v/>
      </c>
      <c r="J14" s="66" t="str">
        <f>IF(OR(Begegnungen!$C$52=C14,Begegnungen!$C$53=C14,Begegnungen!$C$54=C14,Begegnungen!$C$55=C14,Begegnungen!$C$56=C14,Begegnungen!$C$57=C14,Begegnungen!$C$58=C14),Begegnungen!$C$65,IF(OR(Begegnungen!$E$52=C14,Begegnungen!$E$53=C14,Begegnungen!$E$54=C14,Begegnungen!$E$55=C14,Begegnungen!$E$56=C14,Begegnungen!$E$57=C14,Begegnungen!$E$58=C14),Begegnungen!$E$65,""))</f>
        <v/>
      </c>
      <c r="K14" s="66" t="str">
        <f>IF(OR(Begegnungen!$I$52=C14,Begegnungen!$I$53=C14,Begegnungen!$I$54=C14,Begegnungen!$I$55=C14,Begegnungen!$I$56=C14,Begegnungen!$I$57=C14,Begegnungen!$I$58=C14),Begegnungen!$I$65,IF(OR(Begegnungen!$K$52=C14,Begegnungen!$K$53=C14,Begegnungen!$K$54=C14,Begegnungen!$K$55=C14,Begegnungen!$K$56=C14,Begegnungen!$K$57=C14,Begegnungen!$K$58=C14),Begegnungen!$K$65,""))</f>
        <v/>
      </c>
      <c r="L14" s="136" t="str">
        <f>IF(OR(Begegnungen!$C$68=C14,Begegnungen!$C$69=C14,Begegnungen!$C$70=C14,Begegnungen!$C$71=C14,Begegnungen!$C$72=C14,Begegnungen!$C$73=C14,Begegnungen!$C$74=C14),Begegnungen!$C$81,IF(OR(Begegnungen!$E$68=C14,Begegnungen!$E$69=C14,Begegnungen!$E$70=C14,Begegnungen!$E$71=C14,Begegnungen!$E$72=C14,Begegnungen!$E$73=C14,Begegnungen!$E$74=C14),Begegnungen!$E$81,""))</f>
        <v/>
      </c>
      <c r="M14" s="66" t="str">
        <f>IF(OR(Begegnungen!$I$68=C14,Begegnungen!$I$69=C14,Begegnungen!$I$70=C14,Begegnungen!$I$71=C14,Begegnungen!$I$72=C14,Begegnungen!$I$73=C14,Begegnungen!$I$74=C14),Begegnungen!$I$81,IF(OR(Begegnungen!$K$68=C14,Begegnungen!$K$69=C14,Begegnungen!$K$70=C14,Begegnungen!$K$71=C14,Begegnungen!$K$72=C14,Begegnungen!$K$73=C14,Begegnungen!$K$74=C14),Begegnungen!$K$81,""))</f>
        <v/>
      </c>
      <c r="N14" s="66" t="str">
        <f>IF(OR(Begegnungen!$C$84=C14,Begegnungen!$C$85=C14,Begegnungen!$C$86=C14,Begegnungen!$C$87=C14,Begegnungen!$C$88=C14,Begegnungen!$C$89=C14,Begegnungen!$C$90=C14),Begegnungen!$C$98,IF(OR(Begegnungen!$E$84=C14,Begegnungen!$E$85=C14,Begegnungen!$E$86=C14,Begegnungen!$E$87=C14,Begegnungen!$E$88=C14,Begegnungen!$E$89=C14,Begegnungen!$E$90=C14),Begegnungen!$E$98,""))</f>
        <v/>
      </c>
      <c r="O14" s="66" t="str">
        <f>IF(OR(Begegnungen!$I$84=C14,Begegnungen!$I$85=C14,Begegnungen!$I$86=C14,Begegnungen!$I$87=C14,Begegnungen!$I$88=C14,Begegnungen!$I$89=C14,Begegnungen!$I$90=C14),Begegnungen!$I$98,IF(OR(Begegnungen!$K$84=C14,Begegnungen!$K$85=C14,Begegnungen!$K$86=C14,Begegnungen!$K$87=C14,Begegnungen!$K$88=C14,Begegnungen!$K$89=C14,Begegnungen!$K$90=C14),Begegnungen!$K$98,""))</f>
        <v/>
      </c>
      <c r="P14" s="66" t="str">
        <f>IF(OR(Begegnungen!$C$101=C14,Begegnungen!$C$102=C14,Begegnungen!$C$103=C14,Begegnungen!$C$104=C14,Begegnungen!$C$105=C14,Begegnungen!$C$106=C14,Begegnungen!$C$107=C14),Begegnungen!$C$114,IF(OR(Begegnungen!$E$101=C14,Begegnungen!$E$102=C14,Begegnungen!$E$103=C14,Begegnungen!$E$104=C14,Begegnungen!$E$105=C14,Begegnungen!$E$106=C14,Begegnungen!$E$107=C14),Begegnungen!$E$114,""))</f>
        <v/>
      </c>
      <c r="Q14" s="66" t="str">
        <f>IF(OR(Begegnungen!$I$101=C14,Begegnungen!$I$102=C14,Begegnungen!$I$103=C14,Begegnungen!$I$104=C14,Begegnungen!$I$105=C14,Begegnungen!$I$106=C14,Begegnungen!$I$107=C14),Begegnungen!$I$114,IF(OR(Begegnungen!$K$101=C14,Begegnungen!$K$102=C14,Begegnungen!$K$103=C14,Begegnungen!$K$104=C14,Begegnungen!$K$105=C14,Begegnungen!$K$106=C14,Begegnungen!$K$107=C14),Begegnungen!$K$114,""))</f>
        <v/>
      </c>
      <c r="R14" s="136" t="str">
        <f>IF(OR(Begegnungen!$C$117=C14,Begegnungen!$C$118=C14,Begegnungen!$C$119=C14,Begegnungen!$C$120=C14,Begegnungen!$C$121=C14,Begegnungen!$C$122=C14,Begegnungen!$C$123=C14),Begegnungen!$C$130,IF(OR(Begegnungen!$E$117=C14,Begegnungen!$E$118=C14,Begegnungen!$E$119=C14,Begegnungen!$E$120=C14,Begegnungen!$E$121=C14,Begegnungen!$E$122=C14,Begegnungen!$E$123=C14),Begegnungen!$E$130,""))</f>
        <v/>
      </c>
      <c r="S14" s="66" t="str">
        <f>IF(OR(Begegnungen!$I$117=C14,Begegnungen!$I$118=C14,Begegnungen!$I$119=C14,Begegnungen!$I$120=C14,Begegnungen!$I$121=C14,Begegnungen!$I$122=C14,Begegnungen!$I$123=C14),Begegnungen!$I$130,IF(OR(Begegnungen!$K$117=C14,Begegnungen!$K$118=C14,Begegnungen!$K$119=C14,Begegnungen!$K$120=C14,Begegnungen!$K$121=C14,Begegnungen!$K$122=C14,Begegnungen!$K$123=C14),Begegnungen!$K$130,""))</f>
        <v/>
      </c>
      <c r="T14" s="66" t="str">
        <f>IF(OR(Begegnungen!$C$133=C14,Begegnungen!$C$134=C14,Begegnungen!$C$135=C14,Begegnungen!$C$136=C14,Begegnungen!$C$137=C14,Begegnungen!$C$138=C14,Begegnungen!$C$139=C14),Begegnungen!$C$146,IF(OR(Begegnungen!$E$133=C14,Begegnungen!$E$134=C14,Begegnungen!$E$135=C14,Begegnungen!$E$136=C14,Begegnungen!$E$137=C14,Begegnungen!$E$138=C14,Begegnungen!$E$139=C14),Begegnungen!$E$146,""))</f>
        <v/>
      </c>
      <c r="U14" s="66" t="str">
        <f>IF(OR(Begegnungen!$I$133=C14,Begegnungen!$I$134=C14,Begegnungen!$I$135=C14,Begegnungen!$I$136=C14,Begegnungen!$I$137=C14,Begegnungen!$I$138=C14,Begegnungen!$I$139=C14),Begegnungen!$I$146,IF(OR(Begegnungen!$K$133=C14,Begegnungen!$K$134=C14,Begegnungen!$K$135=C14,Begegnungen!$K$136=C14,Begegnungen!$K$137=C14,Begegnungen!$K$138=C14,Begegnungen!$K$139=C14),Begegnungen!$K$146,""))</f>
        <v/>
      </c>
      <c r="V14" s="66" t="str">
        <f>IF(OR(Begegnungen!$C$149=C14,Begegnungen!$C$150=C14,Begegnungen!$C$151=C14,Begegnungen!$C$152=C14,Begegnungen!$C$153=C14,Begegnungen!$C$154=C14,Begegnungen!$C$155=C14),Begegnungen!$C$162,IF(OR(Begegnungen!$E$149=C14,Begegnungen!$E$150=C14,Begegnungen!$E$151=C14,Begegnungen!$E$152=C14,Begegnungen!$E$153=C14,Begegnungen!$E$154=C14,Begegnungen!$E$155=C14),Begegnungen!$E$162,""))</f>
        <v/>
      </c>
      <c r="W14" s="66" t="str">
        <f>IF(OR(Begegnungen!$I$149=C14,Begegnungen!$I$150=C14,Begegnungen!$I$151=C14,Begegnungen!$I$152=C14,Begegnungen!$I$153=C14,Begegnungen!$I$154=C14,Begegnungen!$I$155=C14),Begegnungen!$I$162,IF(OR(Begegnungen!$K$149=C14,Begegnungen!$K$150=C14,Begegnungen!$K$151=C14,Begegnungen!$K$152=C14,Begegnungen!$K$153=C14,Begegnungen!$K$154=C14,Begegnungen!$K$155=C14),Begegnungen!$K$162,""))</f>
        <v/>
      </c>
      <c r="X14" s="66" t="str">
        <f>IF(OR(Begegnungen!$C$165=C14,Begegnungen!$C$166=C14,Begegnungen!$C$167=C14,Begegnungen!$C$168=C14,Begegnungen!$C$169=C14,Begegnungen!$C$170=C14,Begegnungen!$C$171=C14),Begegnungen!$C$178,IF(OR(Begegnungen!$E$165=C14,Begegnungen!$E$166=C14,Begegnungen!$E$167=C14,Begegnungen!$E$168=C14,Begegnungen!$E$169=C14,Begegnungen!$E$170=C14,Begegnungen!$E$171=C14),Begegnungen!$E$178,""))</f>
        <v/>
      </c>
      <c r="Y14" s="66" t="str">
        <f>IF(OR(Begegnungen!$I$165=C14,Begegnungen!$I$166=C14,Begegnungen!$I$167=C14,Begegnungen!$I$168=C14,Begegnungen!$I$169=C14,Begegnungen!$I$170=C14,Begegnungen!$I$171=C14),Begegnungen!$I$178,IF(OR(Begegnungen!$K$165=C14,Begegnungen!$K$166=C14,Begegnungen!$K$167=C14,Begegnungen!$K$168=C14,Begegnungen!$K$169=C14,Begegnungen!$K$170=C14,Begegnungen!$K$171=C14),Begegnungen!$K$178,""))</f>
        <v/>
      </c>
      <c r="Z14" s="66" t="str">
        <f>IF(OR(Begegnungen!$C$181=C14,Begegnungen!$C$182=C14,Begegnungen!$C$183=C14,Begegnungen!$C$184=C14,Begegnungen!$C$185=C14,Begegnungen!$C$186=C14,Begegnungen!$C$187=C14),Begegnungen!$C$194,IF(OR(Begegnungen!$E$181=C14,Begegnungen!$E$182=C14,Begegnungen!$E$183=C14,Begegnungen!$E$184=C14,Begegnungen!$E$185=C14,Begegnungen!$E$186=C14,Begegnungen!$E$187=C14),Begegnungen!$E$194,""))</f>
        <v/>
      </c>
      <c r="AA14" s="66" t="str">
        <f>IF(OR(Begegnungen!$I$181=C14,Begegnungen!$I$182=C14,Begegnungen!$I$183=C14,Begegnungen!$I$184=C14,Begegnungen!$I$185=C14,Begegnungen!$I$186=C14,Begegnungen!$I$187=C14),Begegnungen!$I$194,IF(OR(Begegnungen!$K$181=C14,Begegnungen!$K$182=C14,Begegnungen!$K$183=C14,Begegnungen!$K$184=C14,Begegnungen!$K$185=C14,Begegnungen!$K$186=C14,Begegnungen!$K$187=C14),Begegnungen!$K$194,""))</f>
        <v/>
      </c>
      <c r="AB14" s="66" t="str">
        <f>IF(OR(Begegnungen!$C$197=C14,Begegnungen!$C$198=C14,Begegnungen!$C$199=C14,Begegnungen!$C$200=C14,Begegnungen!$C$201=C14,Begegnungen!$C$202=C14,Begegnungen!$C$203=C14),Begegnungen!$C$210,IF(OR(Begegnungen!$E$197=C14,Begegnungen!$E$198=C14,Begegnungen!$E$199=C14,Begegnungen!$E$200=C14,Begegnungen!$E$201=C14,Begegnungen!$E$202=C14,Begegnungen!$E$203=C14),Begegnungen!$E$210,""))</f>
        <v/>
      </c>
      <c r="AC14" s="66" t="str">
        <f>IF(OR(Begegnungen!$I$197=C14,Begegnungen!$I$198=C14,Begegnungen!$I$199=C14,Begegnungen!$I$200=C14,Begegnungen!$I$201=C14,Begegnungen!$I$202=C14,Begegnungen!$I$203=C14),Begegnungen!$I$210,IF(OR(Begegnungen!$K$197=C14,Begegnungen!$K$198=C14,Begegnungen!$K$199=C14,Begegnungen!$K$200=C14,Begegnungen!$K$201=C14,Begegnungen!$K$202=C14,Begegnungen!$K$203=C14),Begegnungen!$K$210,""))</f>
        <v/>
      </c>
      <c r="AD14" s="66" t="str">
        <f>IF(OR(Begegnungen!$C$213=C14,Begegnungen!$C$214=C14,Begegnungen!$C$215=C14,Begegnungen!$C$216=C14,Begegnungen!$C$217=C14,Begegnungen!$C$218=C14,Begegnungen!$C$219=C14),Begegnungen!$C$226,IF(OR(Begegnungen!$E$213=C14,Begegnungen!$E$214=C14,Begegnungen!$E$215=C14,Begegnungen!$E$216=C14,Begegnungen!$E$217=C14,Begegnungen!$E$218=C14,Begegnungen!$E$219=C14),Begegnungen!$E$226,""))</f>
        <v/>
      </c>
      <c r="AE14" s="66" t="str">
        <f>IF(OR(Begegnungen!$I$213=C14,Begegnungen!$I$214=C14,Begegnungen!$I$215=C14,Begegnungen!$I$216=C14,Begegnungen!$I$217=C14,Begegnungen!$I$218=C14,Begegnungen!$I$219=C14),Begegnungen!$I$226,IF(OR(Begegnungen!$K$213=C14,Begegnungen!$K$214=C14,Begegnungen!$K$215=C14,Begegnungen!$K$216=C14,Begegnungen!$K$217=C14,Begegnungen!$K$218=C14,Begegnungen!$K$219=C14),Begegnungen!$K$226,""))</f>
        <v/>
      </c>
      <c r="AF14" s="136" t="str">
        <f>IF(OR(Begegnungen!$C$229=C14,Begegnungen!$C$230=C14,Begegnungen!$C$231=C14,Begegnungen!$C$232=C14,Begegnungen!$C$233=C14,Begegnungen!$C$234=C14,Begegnungen!$C$235=C14),Begegnungen!$C$242,IF(OR(Begegnungen!$E$229=C14,Begegnungen!$E$230=C14,Begegnungen!$E$231=C14,Begegnungen!$E$232=C14,Begegnungen!$E$233=C14,Begegnungen!$E$234=C14,Begegnungen!$E$235=C14),Begegnungen!$E$242,""))</f>
        <v/>
      </c>
      <c r="AG14" s="66" t="str">
        <f>IF(OR(Begegnungen!$I$229=C14,Begegnungen!$I$230=C14,Begegnungen!$I$231=C14,Begegnungen!$I$232=C14,Begegnungen!$I$233=C14,Begegnungen!$I$234=C14,Begegnungen!$I$235=C14),Begegnungen!$I$242,IF(OR(Begegnungen!$K$229=C14,Begegnungen!$K$230=C14,Begegnungen!$K$231=C14,Begegnungen!$K$232=C14,Begegnungen!$K$233=C14,Begegnungen!$K$234=C14,Begegnungen!$K$235=C14),Begegnungen!$K$242,""))</f>
        <v/>
      </c>
      <c r="AH14" s="66" t="str">
        <f>IF(OR(Begegnungen!$C$245=C14,Begegnungen!$C$246=C14,Begegnungen!$C$247=C14,Begegnungen!$C$248=C14,Begegnungen!$C$249=C14,Begegnungen!$C$250=C14,Begegnungen!$C$251=C14),Begegnungen!$C$258,IF(OR(Begegnungen!$E$245=C14,Begegnungen!$E$246=C14,Begegnungen!$E$247=C14,Begegnungen!$E$248=C14,Begegnungen!$E$249=C14,Begegnungen!$E$250=C14,Begegnungen!$E$251=C14),Begegnungen!$E$258,""))</f>
        <v/>
      </c>
      <c r="AI14" s="66" t="str">
        <f>IF(OR(Begegnungen!$I$245=C14,Begegnungen!$I$246=C14,Begegnungen!$I$247=C14,Begegnungen!$I$248=C14,Begegnungen!$I$249=C14,Begegnungen!$I$250=C14,Begegnungen!$I$251=C14),Begegnungen!$I$258,IF(OR(Begegnungen!$K$245=C14,Begegnungen!$K$246=C14,Begegnungen!$K$247=C14,Begegnungen!$K$248=C14,Begegnungen!$K$249=C14,Begegnungen!$K$250=C14,Begegnungen!$K$251=C14),Begegnungen!$K$258,""))</f>
        <v/>
      </c>
      <c r="AJ14" s="66" t="str">
        <f>IF(OR(Begegnungen!$C$261=C14,Begegnungen!$C$262=C14,Begegnungen!$C$263=C14,Begegnungen!$C$264=C14,Begegnungen!$C$265=C14,Begegnungen!$C$266=C14,Begegnungen!$C$267=C14),Begegnungen!$C$274,IF(OR(Begegnungen!$E$261=C14,Begegnungen!$E$262=C14,Begegnungen!$E$263=C14,Begegnungen!$E$264=C14,Begegnungen!$E$265=C14,Begegnungen!$E$266=C14,Begegnungen!$E$267=C14),Begegnungen!$E$274,""))</f>
        <v/>
      </c>
      <c r="AK14" s="66" t="str">
        <f>IF(OR(Begegnungen!$I$261=C14,Begegnungen!$I$262=C14,Begegnungen!$I$263=C14,Begegnungen!$I$264=C14,Begegnungen!$I$265=C14,Begegnungen!$I$266=C14,Begegnungen!$I$267=C14),Begegnungen!$I$274,IF(OR(Begegnungen!$K$261=C14,Begegnungen!$K$262=C14,Begegnungen!$K$263=C14,Begegnungen!$K$264=C14,Begegnungen!$K$265=C14,Begegnungen!$K$266=C14,Begegnungen!$K$267=C14),Begegnungen!$K$274,""))</f>
        <v/>
      </c>
      <c r="AL14" s="66" t="str">
        <f>IF(OR(Begegnungen!$C$277=C14,Begegnungen!$C$278=C14,Begegnungen!$C$279=C14,Begegnungen!$C$280=C14,Begegnungen!$C$281=C14,Begegnungen!$C$282=C14,Begegnungen!$C$283=C14),Begegnungen!$C$290,IF(OR(Begegnungen!$E$277=C14,Begegnungen!$E$278=C14,Begegnungen!$E$279=C14,Begegnungen!$E$280=C14,Begegnungen!$E$281=C14,Begegnungen!$E$282=C14,Begegnungen!$E$283=C14),Begegnungen!$E$290,""))</f>
        <v/>
      </c>
      <c r="AM14" s="136" t="str">
        <f>IF(OR(Begegnungen!$I$277=C14,Begegnungen!$I$278=C14,Begegnungen!$I$279=C14,Begegnungen!$I$280=C14,Begegnungen!$I$281=C14,Begegnungen!$I$282=C14,Begegnungen!$I$283=C14),Begegnungen!$I$290,IF(OR(Begegnungen!$K$277=C14,Begegnungen!$K$278=C14,Begegnungen!$K$279=C14,Begegnungen!$K$280=C14,Begegnungen!$K$281=C14,Begegnungen!$K$282=C14,Begegnungen!$K$283=C14),Begegnungen!$K$290,""))</f>
        <v/>
      </c>
      <c r="AN14" s="66" t="str">
        <f>IF(OR(Begegnungen!$C$293=C14,Begegnungen!$C$294=C14,Begegnungen!$C$295=C14,Begegnungen!$C$296=C14,Begegnungen!$C$297=C14,Begegnungen!$C$298=C14,Begegnungen!$C$299=C14),Begegnungen!$C$306,IF(OR(Begegnungen!$E$293=C14,Begegnungen!$E$294=C14,Begegnungen!$E$295=C14,Begegnungen!$E$296=C14,Begegnungen!$E$297=C14,Begegnungen!$E$298=C14,Begegnungen!$E$299=C14),Begegnungen!$E$306,""))</f>
        <v/>
      </c>
      <c r="AO14" s="136" t="str">
        <f>IF(OR(Begegnungen!$I$293=C14,Begegnungen!$I$294=C14,Begegnungen!$I$295=C14,Begegnungen!$I$296=C14,Begegnungen!$I$297=C14,Begegnungen!$I$298=C14,Begegnungen!$I$299=C14),Begegnungen!$I$306,IF(OR(Begegnungen!$K$293=C14,Begegnungen!$K$294=C14,Begegnungen!$K$295=C14,Begegnungen!$K$296=C14,Begegnungen!$K$297=C14,Begegnungen!$K$298=C14,Begegnungen!$K$299=C14),Begegnungen!$K$306,""))</f>
        <v/>
      </c>
      <c r="AP14" s="136" t="str">
        <f>IF(OR(Begegnungen!$C$309=C14,Begegnungen!$C$310=C14,Begegnungen!$C$311=C14,Begegnungen!$C$312=C14,Begegnungen!$C$313=C14,Begegnungen!$C$314=C14,Begegnungen!$C$315=C14),Begegnungen!$C$322,IF(OR(Begegnungen!$E$309=C14,Begegnungen!$E$310=C14,Begegnungen!$E$311=C14,Begegnungen!$E$312=C14,Begegnungen!$E$313=C14,Begegnungen!$E$314=C14,Begegnungen!$E$315=C14),Begegnungen!$E$322,""))</f>
        <v/>
      </c>
      <c r="AQ14" s="66" t="str">
        <f>IF(OR(Begegnungen!$I$309=C14,Begegnungen!$I$310=C14,Begegnungen!$I$311=C14,Begegnungen!$I$312=C14,Begegnungen!$I$313=C14,Begegnungen!$I$314=C14,Begegnungen!$I$315=C14),Begegnungen!$I$322,IF(OR(Begegnungen!$K$309=C14,Begegnungen!$K$310=C14,Begegnungen!$K$311=C14,Begegnungen!$K$312=C14,Begegnungen!$K$313=C14,Begegnungen!$K$314=C14,Begegnungen!$K$315=C14),Begegnungen!$K$322,""))</f>
        <v/>
      </c>
      <c r="AR14" s="18">
        <f t="shared" si="2"/>
        <v>0</v>
      </c>
      <c r="AS14" s="19">
        <f t="shared" si="0"/>
        <v>0</v>
      </c>
      <c r="AT14" s="22">
        <f t="shared" si="1"/>
        <v>0</v>
      </c>
      <c r="AU14" s="23" t="e">
        <f>AR14/AS14+AT14</f>
        <v>#DIV/0!</v>
      </c>
      <c r="AW14" s="70">
        <f t="shared" si="4"/>
        <v>0</v>
      </c>
      <c r="AX14" s="30">
        <f t="shared" si="5"/>
        <v>0</v>
      </c>
      <c r="AY14" s="71">
        <f t="shared" si="6"/>
        <v>0</v>
      </c>
    </row>
    <row r="15" spans="2:51" x14ac:dyDescent="0.25">
      <c r="B15" s="3">
        <v>10</v>
      </c>
      <c r="C15" s="65" t="s">
        <v>16</v>
      </c>
      <c r="D15" s="66" t="str">
        <f>IF(OR(Begegnungen!$C$3=C15,Begegnungen!$C$4=C15,Begegnungen!$C$5=C15,Begegnungen!$C$6=C15,Begegnungen!$C$7=C15,Begegnungen!$C$8=C15,Begegnungen!$C$9=C15),Begegnungen!$C$16,IF(OR(Begegnungen!$E$3=C15,Begegnungen!$E$4=C15,Begegnungen!$E$5=C15,Begegnungen!$E$6=C15,Begegnungen!$E$7=C15,Begegnungen!$E$8=C15,Begegnungen!$E$9=C15),Begegnungen!$E$16,""))</f>
        <v/>
      </c>
      <c r="E15" s="66" t="str">
        <f>IF(OR(Begegnungen!$I$3=C15,Begegnungen!$I$4=C15,Begegnungen!$I$5=C15,Begegnungen!$I$6=C15,Begegnungen!$I$7=C15,Begegnungen!$I$8=C15,Begegnungen!$I$9=C15),Begegnungen!$I$16,IF(OR(Begegnungen!$K$3=C15,Begegnungen!$K$4=C15,Begegnungen!$K$5=C15,Begegnungen!$K$6=C15,Begegnungen!$K$7=C15,Begegnungen!$K$8=C15,Begegnungen!$K$9=C15),Begegnungen!$K$16,""))</f>
        <v/>
      </c>
      <c r="F15" s="66" t="str">
        <f>IF(OR(Begegnungen!$C$19=C15,Begegnungen!$C$20=C15,Begegnungen!$C$21=C15,Begegnungen!$C$22=C15,Begegnungen!$C$23=C15,Begegnungen!$C$24=C15,Begegnungen!$C$25=C15),Begegnungen!$C$32,IF(OR(Begegnungen!$E$19=C15,Begegnungen!$E$20=C15,Begegnungen!$E$21=C15,Begegnungen!$E$22=C15,Begegnungen!$E$23=C15,Begegnungen!$E$24=C15,Begegnungen!$E$25=C15),Begegnungen!$E$32,""))</f>
        <v/>
      </c>
      <c r="G15" s="66" t="str">
        <f>IF(OR(Begegnungen!$I$19=C15,Begegnungen!$I$20=C15,Begegnungen!$I$21=C15,Begegnungen!$I$22=C15,Begegnungen!$I$23=C15,Begegnungen!$I$24=C15,Begegnungen!$I$25=C15),Begegnungen!$I$32,IF(OR(Begegnungen!$K$19=C15,Begegnungen!$K$20=C15,Begegnungen!$K$21=C15,Begegnungen!$K$22=C15,Begegnungen!$K$23=C15,Begegnungen!$K$24=C15,Begegnungen!$K$25=C15),Begegnungen!$K$32,""))</f>
        <v/>
      </c>
      <c r="H15" s="66" t="str">
        <f>IF(OR(Begegnungen!$C$35=C15,Begegnungen!$C$36=C15,Begegnungen!$C$37=C15,Begegnungen!$C$38=C15,Begegnungen!$C$39=C15,Begegnungen!$C$40=C15,Begegnungen!$C$41=C15),Begegnungen!$C$49,IF(OR(Begegnungen!$E$35=C15,Begegnungen!$E$36=C15,Begegnungen!$E$37=C15,Begegnungen!$E$38=C15,Begegnungen!$E$39=C15,Begegnungen!$E$40=C15,Begegnungen!$E$41=C15),Begegnungen!$E$49,""))</f>
        <v/>
      </c>
      <c r="I15" s="66" t="str">
        <f>IF(OR(Begegnungen!$I$35=C15,Begegnungen!$I$36=C15,Begegnungen!$I$37=C15,Begegnungen!$I$38=C15,Begegnungen!$I$39=C15,Begegnungen!$I$40=C15,Begegnungen!$I$41=C15),Begegnungen!$I$49,IF(OR(Begegnungen!$K$35=C15,Begegnungen!$K$36=C15,Begegnungen!$K$37=C15,Begegnungen!$K$38=C15,Begegnungen!$K$39=C15,Begegnungen!$K$40=C15,Begegnungen!$K$41=C15),Begegnungen!$K$49,""))</f>
        <v/>
      </c>
      <c r="J15" s="66" t="str">
        <f>IF(OR(Begegnungen!$C$52=C15,Begegnungen!$C$53=C15,Begegnungen!$C$54=C15,Begegnungen!$C$55=C15,Begegnungen!$C$56=C15,Begegnungen!$C$57=C15,Begegnungen!$C$58=C15),Begegnungen!$C$65,IF(OR(Begegnungen!$E$52=C15,Begegnungen!$E$53=C15,Begegnungen!$E$54=C15,Begegnungen!$E$55=C15,Begegnungen!$E$56=C15,Begegnungen!$E$57=C15,Begegnungen!$E$58=C15),Begegnungen!$E$65,""))</f>
        <v>0</v>
      </c>
      <c r="K15" s="66" t="str">
        <f>IF(OR(Begegnungen!$I$52=C15,Begegnungen!$I$53=C15,Begegnungen!$I$54=C15,Begegnungen!$I$55=C15,Begegnungen!$I$56=C15,Begegnungen!$I$57=C15,Begegnungen!$I$58=C15),Begegnungen!$I$65,IF(OR(Begegnungen!$K$52=C15,Begegnungen!$K$53=C15,Begegnungen!$K$54=C15,Begegnungen!$K$55=C15,Begegnungen!$K$56=C15,Begegnungen!$K$57=C15,Begegnungen!$K$58=C15),Begegnungen!$K$65,""))</f>
        <v>0</v>
      </c>
      <c r="L15" s="136" t="str">
        <f>IF(OR(Begegnungen!$C$68=C15,Begegnungen!$C$69=C15,Begegnungen!$C$70=C15,Begegnungen!$C$71=C15,Begegnungen!$C$72=C15,Begegnungen!$C$73=C15,Begegnungen!$C$74=C15),Begegnungen!$C$81,IF(OR(Begegnungen!$E$68=C15,Begegnungen!$E$69=C15,Begegnungen!$E$70=C15,Begegnungen!$E$71=C15,Begegnungen!$E$72=C15,Begegnungen!$E$73=C15,Begegnungen!$E$74=C15),Begegnungen!$E$81,""))</f>
        <v/>
      </c>
      <c r="M15" s="66" t="str">
        <f>IF(OR(Begegnungen!$I$68=C15,Begegnungen!$I$69=C15,Begegnungen!$I$70=C15,Begegnungen!$I$71=C15,Begegnungen!$I$72=C15,Begegnungen!$I$73=C15,Begegnungen!$I$74=C15),Begegnungen!$I$81,IF(OR(Begegnungen!$K$68=C15,Begegnungen!$K$69=C15,Begegnungen!$K$70=C15,Begegnungen!$K$71=C15,Begegnungen!$K$72=C15,Begegnungen!$K$73=C15,Begegnungen!$K$74=C15),Begegnungen!$K$81,""))</f>
        <v>0</v>
      </c>
      <c r="N15" s="66" t="str">
        <f>IF(OR(Begegnungen!$C$84=C15,Begegnungen!$C$85=C15,Begegnungen!$C$86=C15,Begegnungen!$C$87=C15,Begegnungen!$C$88=C15,Begegnungen!$C$89=C15,Begegnungen!$C$90=C15),Begegnungen!$C$98,IF(OR(Begegnungen!$E$84=C15,Begegnungen!$E$85=C15,Begegnungen!$E$86=C15,Begegnungen!$E$87=C15,Begegnungen!$E$88=C15,Begegnungen!$E$89=C15,Begegnungen!$E$90=C15),Begegnungen!$E$98,""))</f>
        <v>0</v>
      </c>
      <c r="O15" s="66" t="str">
        <f>IF(OR(Begegnungen!$I$84=C15,Begegnungen!$I$85=C15,Begegnungen!$I$86=C15,Begegnungen!$I$87=C15,Begegnungen!$I$88=C15,Begegnungen!$I$89=C15,Begegnungen!$I$90=C15),Begegnungen!$I$98,IF(OR(Begegnungen!$K$84=C15,Begegnungen!$K$85=C15,Begegnungen!$K$86=C15,Begegnungen!$K$87=C15,Begegnungen!$K$88=C15,Begegnungen!$K$89=C15,Begegnungen!$K$90=C15),Begegnungen!$K$98,""))</f>
        <v>0</v>
      </c>
      <c r="P15" s="66" t="str">
        <f>IF(OR(Begegnungen!$C$101=C15,Begegnungen!$C$102=C15,Begegnungen!$C$103=C15,Begegnungen!$C$104=C15,Begegnungen!$C$105=C15,Begegnungen!$C$106=C15,Begegnungen!$C$107=C15),Begegnungen!$C$114,IF(OR(Begegnungen!$E$101=C15,Begegnungen!$E$102=C15,Begegnungen!$E$103=C15,Begegnungen!$E$104=C15,Begegnungen!$E$105=C15,Begegnungen!$E$106=C15,Begegnungen!$E$107=C15),Begegnungen!$E$114,""))</f>
        <v>0</v>
      </c>
      <c r="Q15" s="66" t="str">
        <f>IF(OR(Begegnungen!$I$101=C15,Begegnungen!$I$102=C15,Begegnungen!$I$103=C15,Begegnungen!$I$104=C15,Begegnungen!$I$105=C15,Begegnungen!$I$106=C15,Begegnungen!$I$107=C15),Begegnungen!$I$114,IF(OR(Begegnungen!$K$101=C15,Begegnungen!$K$102=C15,Begegnungen!$K$103=C15,Begegnungen!$K$104=C15,Begegnungen!$K$105=C15,Begegnungen!$K$106=C15,Begegnungen!$K$107=C15),Begegnungen!$K$114,""))</f>
        <v>0</v>
      </c>
      <c r="R15" s="136" t="str">
        <f>IF(OR(Begegnungen!$C$117=C15,Begegnungen!$C$118=C15,Begegnungen!$C$119=C15,Begegnungen!$C$120=C15,Begegnungen!$C$121=C15,Begegnungen!$C$122=C15,Begegnungen!$C$123=C15),Begegnungen!$C$130,IF(OR(Begegnungen!$E$117=C15,Begegnungen!$E$118=C15,Begegnungen!$E$119=C15,Begegnungen!$E$120=C15,Begegnungen!$E$121=C15,Begegnungen!$E$122=C15,Begegnungen!$E$123=C15),Begegnungen!$E$130,""))</f>
        <v>0</v>
      </c>
      <c r="S15" s="66" t="str">
        <f>IF(OR(Begegnungen!$I$117=C15,Begegnungen!$I$118=C15,Begegnungen!$I$119=C15,Begegnungen!$I$120=C15,Begegnungen!$I$121=C15,Begegnungen!$I$122=C15,Begegnungen!$I$123=C15),Begegnungen!$I$130,IF(OR(Begegnungen!$K$117=C15,Begegnungen!$K$118=C15,Begegnungen!$K$119=C15,Begegnungen!$K$120=C15,Begegnungen!$K$121=C15,Begegnungen!$K$122=C15,Begegnungen!$K$123=C15),Begegnungen!$K$130,""))</f>
        <v>3</v>
      </c>
      <c r="T15" s="66" t="str">
        <f>IF(OR(Begegnungen!$C$133=C15,Begegnungen!$C$134=C15,Begegnungen!$C$135=C15,Begegnungen!$C$136=C15,Begegnungen!$C$137=C15,Begegnungen!$C$138=C15,Begegnungen!$C$139=C15),Begegnungen!$C$146,IF(OR(Begegnungen!$E$133=C15,Begegnungen!$E$134=C15,Begegnungen!$E$135=C15,Begegnungen!$E$136=C15,Begegnungen!$E$137=C15,Begegnungen!$E$138=C15,Begegnungen!$E$139=C15),Begegnungen!$E$146,""))</f>
        <v>0</v>
      </c>
      <c r="U15" s="66" t="str">
        <f>IF(OR(Begegnungen!$I$133=C15,Begegnungen!$I$134=C15,Begegnungen!$I$135=C15,Begegnungen!$I$136=C15,Begegnungen!$I$137=C15,Begegnungen!$I$138=C15,Begegnungen!$I$139=C15),Begegnungen!$I$146,IF(OR(Begegnungen!$K$133=C15,Begegnungen!$K$134=C15,Begegnungen!$K$135=C15,Begegnungen!$K$136=C15,Begegnungen!$K$137=C15,Begegnungen!$K$138=C15,Begegnungen!$K$139=C15),Begegnungen!$K$146,""))</f>
        <v>3</v>
      </c>
      <c r="V15" s="66" t="str">
        <f>IF(OR(Begegnungen!$C$149=C15,Begegnungen!$C$150=C15,Begegnungen!$C$151=C15,Begegnungen!$C$152=C15,Begegnungen!$C$153=C15,Begegnungen!$C$154=C15,Begegnungen!$C$155=C15),Begegnungen!$C$162,IF(OR(Begegnungen!$E$149=C15,Begegnungen!$E$150=C15,Begegnungen!$E$151=C15,Begegnungen!$E$152=C15,Begegnungen!$E$153=C15,Begegnungen!$E$154=C15,Begegnungen!$E$155=C15),Begegnungen!$E$162,""))</f>
        <v>0</v>
      </c>
      <c r="W15" s="66" t="str">
        <f>IF(OR(Begegnungen!$I$149=C15,Begegnungen!$I$150=C15,Begegnungen!$I$151=C15,Begegnungen!$I$152=C15,Begegnungen!$I$153=C15,Begegnungen!$I$154=C15,Begegnungen!$I$155=C15),Begegnungen!$I$162,IF(OR(Begegnungen!$K$149=C15,Begegnungen!$K$150=C15,Begegnungen!$K$151=C15,Begegnungen!$K$152=C15,Begegnungen!$K$153=C15,Begegnungen!$K$154=C15,Begegnungen!$K$155=C15),Begegnungen!$K$162,""))</f>
        <v/>
      </c>
      <c r="X15" s="66" t="str">
        <f>IF(OR(Begegnungen!$C$165=C15,Begegnungen!$C$166=C15,Begegnungen!$C$167=C15,Begegnungen!$C$168=C15,Begegnungen!$C$169=C15,Begegnungen!$C$170=C15,Begegnungen!$C$171=C15),Begegnungen!$C$178,IF(OR(Begegnungen!$E$165=C15,Begegnungen!$E$166=C15,Begegnungen!$E$167=C15,Begegnungen!$E$168=C15,Begegnungen!$E$169=C15,Begegnungen!$E$170=C15,Begegnungen!$E$171=C15),Begegnungen!$E$178,""))</f>
        <v>3</v>
      </c>
      <c r="Y15" s="66" t="str">
        <f>IF(OR(Begegnungen!$I$165=C15,Begegnungen!$I$166=C15,Begegnungen!$I$167=C15,Begegnungen!$I$168=C15,Begegnungen!$I$169=C15,Begegnungen!$I$170=C15,Begegnungen!$I$171=C15),Begegnungen!$I$178,IF(OR(Begegnungen!$K$165=C15,Begegnungen!$K$166=C15,Begegnungen!$K$167=C15,Begegnungen!$K$168=C15,Begegnungen!$K$169=C15,Begegnungen!$K$170=C15,Begegnungen!$K$171=C15),Begegnungen!$K$178,""))</f>
        <v>3</v>
      </c>
      <c r="Z15" s="66" t="str">
        <f>IF(OR(Begegnungen!$C$181=C15,Begegnungen!$C$182=C15,Begegnungen!$C$183=C15,Begegnungen!$C$184=C15,Begegnungen!$C$185=C15,Begegnungen!$C$186=C15,Begegnungen!$C$187=C15),Begegnungen!$C$194,IF(OR(Begegnungen!$E$181=C15,Begegnungen!$E$182=C15,Begegnungen!$E$183=C15,Begegnungen!$E$184=C15,Begegnungen!$E$185=C15,Begegnungen!$E$186=C15,Begegnungen!$E$187=C15),Begegnungen!$E$194,""))</f>
        <v/>
      </c>
      <c r="AA15" s="66" t="str">
        <f>IF(OR(Begegnungen!$I$181=C15,Begegnungen!$I$182=C15,Begegnungen!$I$183=C15,Begegnungen!$I$184=C15,Begegnungen!$I$185=C15,Begegnungen!$I$186=C15,Begegnungen!$I$187=C15),Begegnungen!$I$194,IF(OR(Begegnungen!$K$181=C15,Begegnungen!$K$182=C15,Begegnungen!$K$183=C15,Begegnungen!$K$184=C15,Begegnungen!$K$185=C15,Begegnungen!$K$186=C15,Begegnungen!$K$187=C15),Begegnungen!$K$194,""))</f>
        <v/>
      </c>
      <c r="AB15" s="66" t="str">
        <f>IF(OR(Begegnungen!$C$197=C15,Begegnungen!$C$198=C15,Begegnungen!$C$199=C15,Begegnungen!$C$200=C15,Begegnungen!$C$201=C15,Begegnungen!$C$202=C15,Begegnungen!$C$203=C15),Begegnungen!$C$210,IF(OR(Begegnungen!$E$197=C15,Begegnungen!$E$198=C15,Begegnungen!$E$199=C15,Begegnungen!$E$200=C15,Begegnungen!$E$201=C15,Begegnungen!$E$202=C15,Begegnungen!$E$203=C15),Begegnungen!$E$210,""))</f>
        <v>3</v>
      </c>
      <c r="AC15" s="66" t="str">
        <f>IF(OR(Begegnungen!$I$197=C15,Begegnungen!$I$198=C15,Begegnungen!$I$199=C15,Begegnungen!$I$200=C15,Begegnungen!$I$201=C15,Begegnungen!$I$202=C15,Begegnungen!$I$203=C15),Begegnungen!$I$210,IF(OR(Begegnungen!$K$197=C15,Begegnungen!$K$198=C15,Begegnungen!$K$199=C15,Begegnungen!$K$200=C15,Begegnungen!$K$201=C15,Begegnungen!$K$202=C15,Begegnungen!$K$203=C15),Begegnungen!$K$210,""))</f>
        <v>0</v>
      </c>
      <c r="AD15" s="66" t="str">
        <f>IF(OR(Begegnungen!$C$213=C15,Begegnungen!$C$214=C15,Begegnungen!$C$215=C15,Begegnungen!$C$216=C15,Begegnungen!$C$217=C15,Begegnungen!$C$218=C15,Begegnungen!$C$219=C15),Begegnungen!$C$226,IF(OR(Begegnungen!$E$213=C15,Begegnungen!$E$214=C15,Begegnungen!$E$215=C15,Begegnungen!$E$216=C15,Begegnungen!$E$217=C15,Begegnungen!$E$218=C15,Begegnungen!$E$219=C15),Begegnungen!$E$226,""))</f>
        <v>0</v>
      </c>
      <c r="AE15" s="66" t="str">
        <f>IF(OR(Begegnungen!$I$213=C15,Begegnungen!$I$214=C15,Begegnungen!$I$215=C15,Begegnungen!$I$216=C15,Begegnungen!$I$217=C15,Begegnungen!$I$218=C15,Begegnungen!$I$219=C15),Begegnungen!$I$226,IF(OR(Begegnungen!$K$213=C15,Begegnungen!$K$214=C15,Begegnungen!$K$215=C15,Begegnungen!$K$216=C15,Begegnungen!$K$217=C15,Begegnungen!$K$218=C15,Begegnungen!$K$219=C15),Begegnungen!$K$226,""))</f>
        <v>3</v>
      </c>
      <c r="AF15" s="136" t="str">
        <f>IF(OR(Begegnungen!$C$229=C15,Begegnungen!$C$230=C15,Begegnungen!$C$231=C15,Begegnungen!$C$232=C15,Begegnungen!$C$233=C15,Begegnungen!$C$234=C15,Begegnungen!$C$235=C15),Begegnungen!$C$242,IF(OR(Begegnungen!$E$229=C15,Begegnungen!$E$230=C15,Begegnungen!$E$231=C15,Begegnungen!$E$232=C15,Begegnungen!$E$233=C15,Begegnungen!$E$234=C15,Begegnungen!$E$235=C15),Begegnungen!$E$242,""))</f>
        <v>3</v>
      </c>
      <c r="AG15" s="66" t="str">
        <f>IF(OR(Begegnungen!$I$229=C15,Begegnungen!$I$230=C15,Begegnungen!$I$231=C15,Begegnungen!$I$232=C15,Begegnungen!$I$233=C15,Begegnungen!$I$234=C15,Begegnungen!$I$235=C15),Begegnungen!$I$242,IF(OR(Begegnungen!$K$229=C15,Begegnungen!$K$230=C15,Begegnungen!$K$231=C15,Begegnungen!$K$232=C15,Begegnungen!$K$233=C15,Begegnungen!$K$234=C15,Begegnungen!$K$235=C15),Begegnungen!$K$242,""))</f>
        <v/>
      </c>
      <c r="AH15" s="66" t="str">
        <f>IF(OR(Begegnungen!$C$245=C15,Begegnungen!$C$246=C15,Begegnungen!$C$247=C15,Begegnungen!$C$248=C15,Begegnungen!$C$249=C15,Begegnungen!$C$250=C15,Begegnungen!$C$251=C15),Begegnungen!$C$258,IF(OR(Begegnungen!$E$245=C15,Begegnungen!$E$246=C15,Begegnungen!$E$247=C15,Begegnungen!$E$248=C15,Begegnungen!$E$249=C15,Begegnungen!$E$250=C15,Begegnungen!$E$251=C15),Begegnungen!$E$258,""))</f>
        <v>3</v>
      </c>
      <c r="AI15" s="66" t="str">
        <f>IF(OR(Begegnungen!$I$245=C15,Begegnungen!$I$246=C15,Begegnungen!$I$247=C15,Begegnungen!$I$248=C15,Begegnungen!$I$249=C15,Begegnungen!$I$250=C15,Begegnungen!$I$251=C15),Begegnungen!$I$258,IF(OR(Begegnungen!$K$245=C15,Begegnungen!$K$246=C15,Begegnungen!$K$247=C15,Begegnungen!$K$248=C15,Begegnungen!$K$249=C15,Begegnungen!$K$250=C15,Begegnungen!$K$251=C15),Begegnungen!$K$258,""))</f>
        <v>0</v>
      </c>
      <c r="AJ15" s="66" t="str">
        <f>IF(OR(Begegnungen!$C$261=C15,Begegnungen!$C$262=C15,Begegnungen!$C$263=C15,Begegnungen!$C$264=C15,Begegnungen!$C$265=C15,Begegnungen!$C$266=C15,Begegnungen!$C$267=C15),Begegnungen!$C$274,IF(OR(Begegnungen!$E$261=C15,Begegnungen!$E$262=C15,Begegnungen!$E$263=C15,Begegnungen!$E$264=C15,Begegnungen!$E$265=C15,Begegnungen!$E$266=C15,Begegnungen!$E$267=C15),Begegnungen!$E$274,""))</f>
        <v/>
      </c>
      <c r="AK15" s="66" t="str">
        <f>IF(OR(Begegnungen!$I$261=C15,Begegnungen!$I$262=C15,Begegnungen!$I$263=C15,Begegnungen!$I$264=C15,Begegnungen!$I$265=C15,Begegnungen!$I$266=C15,Begegnungen!$I$267=C15),Begegnungen!$I$274,IF(OR(Begegnungen!$K$261=C15,Begegnungen!$K$262=C15,Begegnungen!$K$263=C15,Begegnungen!$K$264=C15,Begegnungen!$K$265=C15,Begegnungen!$K$266=C15,Begegnungen!$K$267=C15),Begegnungen!$K$274,""))</f>
        <v/>
      </c>
      <c r="AL15" s="66" t="str">
        <f>IF(OR(Begegnungen!$C$277=C15,Begegnungen!$C$278=C15,Begegnungen!$C$279=C15,Begegnungen!$C$280=C15,Begegnungen!$C$281=C15,Begegnungen!$C$282=C15,Begegnungen!$C$283=C15),Begegnungen!$C$290,IF(OR(Begegnungen!$E$277=C15,Begegnungen!$E$278=C15,Begegnungen!$E$279=C15,Begegnungen!$E$280=C15,Begegnungen!$E$281=C15,Begegnungen!$E$282=C15,Begegnungen!$E$283=C15),Begegnungen!$E$290,""))</f>
        <v/>
      </c>
      <c r="AM15" s="136" t="str">
        <f>IF(OR(Begegnungen!$I$277=C15,Begegnungen!$I$278=C15,Begegnungen!$I$279=C15,Begegnungen!$I$280=C15,Begegnungen!$I$281=C15,Begegnungen!$I$282=C15,Begegnungen!$I$283=C15),Begegnungen!$I$290,IF(OR(Begegnungen!$K$277=C15,Begegnungen!$K$278=C15,Begegnungen!$K$279=C15,Begegnungen!$K$280=C15,Begegnungen!$K$281=C15,Begegnungen!$K$282=C15,Begegnungen!$K$283=C15),Begegnungen!$K$290,""))</f>
        <v/>
      </c>
      <c r="AN15" s="66" t="str">
        <f>IF(OR(Begegnungen!$C$293=C15,Begegnungen!$C$294=C15,Begegnungen!$C$295=C15,Begegnungen!$C$296=C15,Begegnungen!$C$297=C15,Begegnungen!$C$298=C15,Begegnungen!$C$299=C15),Begegnungen!$C$306,IF(OR(Begegnungen!$E$293=C15,Begegnungen!$E$294=C15,Begegnungen!$E$295=C15,Begegnungen!$E$296=C15,Begegnungen!$E$297=C15,Begegnungen!$E$298=C15,Begegnungen!$E$299=C15),Begegnungen!$E$306,""))</f>
        <v/>
      </c>
      <c r="AO15" s="136" t="str">
        <f>IF(OR(Begegnungen!$I$293=C15,Begegnungen!$I$294=C15,Begegnungen!$I$295=C15,Begegnungen!$I$296=C15,Begegnungen!$I$297=C15,Begegnungen!$I$298=C15,Begegnungen!$I$299=C15),Begegnungen!$I$306,IF(OR(Begegnungen!$K$293=C15,Begegnungen!$K$294=C15,Begegnungen!$K$295=C15,Begegnungen!$K$296=C15,Begegnungen!$K$297=C15,Begegnungen!$K$298=C15,Begegnungen!$K$299=C15),Begegnungen!$K$306,""))</f>
        <v/>
      </c>
      <c r="AP15" s="136" t="str">
        <f>IF(OR(Begegnungen!$C$309=C15,Begegnungen!$C$310=C15,Begegnungen!$C$311=C15,Begegnungen!$C$312=C15,Begegnungen!$C$313=C15,Begegnungen!$C$314=C15,Begegnungen!$C$315=C15),Begegnungen!$C$322,IF(OR(Begegnungen!$E$309=C15,Begegnungen!$E$310=C15,Begegnungen!$E$311=C15,Begegnungen!$E$312=C15,Begegnungen!$E$313=C15,Begegnungen!$E$314=C15,Begegnungen!$E$315=C15),Begegnungen!$E$322,""))</f>
        <v/>
      </c>
      <c r="AQ15" s="66" t="str">
        <f>IF(OR(Begegnungen!$I$309=C15,Begegnungen!$I$310=C15,Begegnungen!$I$311=C15,Begegnungen!$I$312=C15,Begegnungen!$I$313=C15,Begegnungen!$I$314=C15,Begegnungen!$I$315=C15),Begegnungen!$I$322,IF(OR(Begegnungen!$K$309=C15,Begegnungen!$K$310=C15,Begegnungen!$K$311=C15,Begegnungen!$K$312=C15,Begegnungen!$K$313=C15,Begegnungen!$K$314=C15,Begegnungen!$K$315=C15),Begegnungen!$K$322,""))</f>
        <v/>
      </c>
      <c r="AR15" s="18">
        <f t="shared" si="2"/>
        <v>24</v>
      </c>
      <c r="AS15" s="19">
        <f t="shared" si="0"/>
        <v>21</v>
      </c>
      <c r="AT15" s="22">
        <f t="shared" si="1"/>
        <v>1.05</v>
      </c>
      <c r="AU15" s="23">
        <f t="shared" si="3"/>
        <v>2.1928571428571431</v>
      </c>
      <c r="AW15" s="70">
        <f t="shared" si="4"/>
        <v>8</v>
      </c>
      <c r="AX15" s="30">
        <f t="shared" si="5"/>
        <v>0</v>
      </c>
      <c r="AY15" s="71">
        <f t="shared" si="6"/>
        <v>13</v>
      </c>
    </row>
    <row r="16" spans="2:51" x14ac:dyDescent="0.25">
      <c r="B16" s="3">
        <v>11</v>
      </c>
      <c r="C16" s="65" t="s">
        <v>13</v>
      </c>
      <c r="D16" s="66" t="str">
        <f>IF(OR(Begegnungen!$C$3=C16,Begegnungen!$C$4=C16,Begegnungen!$C$5=C16,Begegnungen!$C$6=C16,Begegnungen!$C$7=C16,Begegnungen!$C$8=C16,Begegnungen!$C$9=C16),Begegnungen!$C$16,IF(OR(Begegnungen!$E$3=C16,Begegnungen!$E$4=C16,Begegnungen!$E$5=C16,Begegnungen!$E$6=C16,Begegnungen!$E$7=C16,Begegnungen!$E$8=C16,Begegnungen!$E$9=C16),Begegnungen!$E$16,""))</f>
        <v>1</v>
      </c>
      <c r="E16" s="66" t="str">
        <f>IF(OR(Begegnungen!$I$3=C16,Begegnungen!$I$4=C16,Begegnungen!$I$5=C16,Begegnungen!$I$6=C16,Begegnungen!$I$7=C16,Begegnungen!$I$8=C16,Begegnungen!$I$9=C16),Begegnungen!$I$16,IF(OR(Begegnungen!$K$3=C16,Begegnungen!$K$4=C16,Begegnungen!$K$5=C16,Begegnungen!$K$6=C16,Begegnungen!$K$7=C16,Begegnungen!$K$8=C16,Begegnungen!$K$9=C16),Begegnungen!$K$16,""))</f>
        <v>0</v>
      </c>
      <c r="F16" s="66" t="str">
        <f>IF(OR(Begegnungen!$C$19=C16,Begegnungen!$C$20=C16,Begegnungen!$C$21=C16,Begegnungen!$C$22=C16,Begegnungen!$C$23=C16,Begegnungen!$C$24=C16,Begegnungen!$C$25=C16),Begegnungen!$C$32,IF(OR(Begegnungen!$E$19=C16,Begegnungen!$E$20=C16,Begegnungen!$E$21=C16,Begegnungen!$E$22=C16,Begegnungen!$E$23=C16,Begegnungen!$E$24=C16,Begegnungen!$E$25=C16),Begegnungen!$E$32,""))</f>
        <v>3</v>
      </c>
      <c r="G16" s="66" t="str">
        <f>IF(OR(Begegnungen!$I$19=C16,Begegnungen!$I$20=C16,Begegnungen!$I$21=C16,Begegnungen!$I$22=C16,Begegnungen!$I$23=C16,Begegnungen!$I$24=C16,Begegnungen!$I$25=C16),Begegnungen!$I$32,IF(OR(Begegnungen!$K$19=C16,Begegnungen!$K$20=C16,Begegnungen!$K$21=C16,Begegnungen!$K$22=C16,Begegnungen!$K$23=C16,Begegnungen!$K$24=C16,Begegnungen!$K$25=C16),Begegnungen!$K$32,""))</f>
        <v>3</v>
      </c>
      <c r="H16" s="66" t="str">
        <f>IF(OR(Begegnungen!$C$35=C16,Begegnungen!$C$36=C16,Begegnungen!$C$37=C16,Begegnungen!$C$38=C16,Begegnungen!$C$39=C16,Begegnungen!$C$40=C16,Begegnungen!$C$41=C16),Begegnungen!$C$49,IF(OR(Begegnungen!$E$35=C16,Begegnungen!$E$36=C16,Begegnungen!$E$37=C16,Begegnungen!$E$38=C16,Begegnungen!$E$39=C16,Begegnungen!$E$40=C16,Begegnungen!$E$41=C16),Begegnungen!$E$49,""))</f>
        <v>3</v>
      </c>
      <c r="I16" s="66" t="str">
        <f>IF(OR(Begegnungen!$I$35=C16,Begegnungen!$I$36=C16,Begegnungen!$I$37=C16,Begegnungen!$I$38=C16,Begegnungen!$I$39=C16,Begegnungen!$I$40=C16,Begegnungen!$I$41=C16),Begegnungen!$I$49,IF(OR(Begegnungen!$K$35=C16,Begegnungen!$K$36=C16,Begegnungen!$K$37=C16,Begegnungen!$K$38=C16,Begegnungen!$K$39=C16,Begegnungen!$K$40=C16,Begegnungen!$K$41=C16),Begegnungen!$K$49,""))</f>
        <v>1</v>
      </c>
      <c r="J16" s="66" t="str">
        <f>IF(OR(Begegnungen!$C$52=C16,Begegnungen!$C$53=C16,Begegnungen!$C$54=C16,Begegnungen!$C$55=C16,Begegnungen!$C$56=C16,Begegnungen!$C$57=C16,Begegnungen!$C$58=C16),Begegnungen!$C$65,IF(OR(Begegnungen!$E$52=C16,Begegnungen!$E$53=C16,Begegnungen!$E$54=C16,Begegnungen!$E$55=C16,Begegnungen!$E$56=C16,Begegnungen!$E$57=C16,Begegnungen!$E$58=C16),Begegnungen!$E$65,""))</f>
        <v>3</v>
      </c>
      <c r="K16" s="66" t="str">
        <f>IF(OR(Begegnungen!$I$52=C16,Begegnungen!$I$53=C16,Begegnungen!$I$54=C16,Begegnungen!$I$55=C16,Begegnungen!$I$56=C16,Begegnungen!$I$57=C16,Begegnungen!$I$58=C16),Begegnungen!$I$65,IF(OR(Begegnungen!$K$52=C16,Begegnungen!$K$53=C16,Begegnungen!$K$54=C16,Begegnungen!$K$55=C16,Begegnungen!$K$56=C16,Begegnungen!$K$57=C16,Begegnungen!$K$58=C16),Begegnungen!$K$65,""))</f>
        <v>3</v>
      </c>
      <c r="L16" s="136" t="str">
        <f>IF(OR(Begegnungen!$C$68=C16,Begegnungen!$C$69=C16,Begegnungen!$C$70=C16,Begegnungen!$C$71=C16,Begegnungen!$C$72=C16,Begegnungen!$C$73=C16,Begegnungen!$C$74=C16),Begegnungen!$C$81,IF(OR(Begegnungen!$E$68=C16,Begegnungen!$E$69=C16,Begegnungen!$E$70=C16,Begegnungen!$E$71=C16,Begegnungen!$E$72=C16,Begegnungen!$E$73=C16,Begegnungen!$E$74=C16),Begegnungen!$E$81,""))</f>
        <v>0</v>
      </c>
      <c r="M16" s="66" t="str">
        <f>IF(OR(Begegnungen!$I$68=C16,Begegnungen!$I$69=C16,Begegnungen!$I$70=C16,Begegnungen!$I$71=C16,Begegnungen!$I$72=C16,Begegnungen!$I$73=C16,Begegnungen!$I$74=C16),Begegnungen!$I$81,IF(OR(Begegnungen!$K$68=C16,Begegnungen!$K$69=C16,Begegnungen!$K$70=C16,Begegnungen!$K$71=C16,Begegnungen!$K$72=C16,Begegnungen!$K$73=C16,Begegnungen!$K$74=C16),Begegnungen!$K$81,""))</f>
        <v>0</v>
      </c>
      <c r="N16" s="66" t="str">
        <f>IF(OR(Begegnungen!$C$84=C16,Begegnungen!$C$85=C16,Begegnungen!$C$86=C16,Begegnungen!$C$87=C16,Begegnungen!$C$88=C16,Begegnungen!$C$89=C16,Begegnungen!$C$90=C16),Begegnungen!$C$98,IF(OR(Begegnungen!$E$84=C16,Begegnungen!$E$85=C16,Begegnungen!$E$86=C16,Begegnungen!$E$87=C16,Begegnungen!$E$88=C16,Begegnungen!$E$89=C16,Begegnungen!$E$90=C16),Begegnungen!$E$98,""))</f>
        <v>3</v>
      </c>
      <c r="O16" s="66" t="str">
        <f>IF(OR(Begegnungen!$I$84=C16,Begegnungen!$I$85=C16,Begegnungen!$I$86=C16,Begegnungen!$I$87=C16,Begegnungen!$I$88=C16,Begegnungen!$I$89=C16,Begegnungen!$I$90=C16),Begegnungen!$I$98,IF(OR(Begegnungen!$K$84=C16,Begegnungen!$K$85=C16,Begegnungen!$K$86=C16,Begegnungen!$K$87=C16,Begegnungen!$K$88=C16,Begegnungen!$K$89=C16,Begegnungen!$K$90=C16),Begegnungen!$K$98,""))</f>
        <v>0</v>
      </c>
      <c r="P16" s="66" t="str">
        <f>IF(OR(Begegnungen!$C$101=C16,Begegnungen!$C$102=C16,Begegnungen!$C$103=C16,Begegnungen!$C$104=C16,Begegnungen!$C$105=C16,Begegnungen!$C$106=C16,Begegnungen!$C$107=C16),Begegnungen!$C$114,IF(OR(Begegnungen!$E$101=C16,Begegnungen!$E$102=C16,Begegnungen!$E$103=C16,Begegnungen!$E$104=C16,Begegnungen!$E$105=C16,Begegnungen!$E$106=C16,Begegnungen!$E$107=C16),Begegnungen!$E$114,""))</f>
        <v>0</v>
      </c>
      <c r="Q16" s="66" t="str">
        <f>IF(OR(Begegnungen!$I$101=C16,Begegnungen!$I$102=C16,Begegnungen!$I$103=C16,Begegnungen!$I$104=C16,Begegnungen!$I$105=C16,Begegnungen!$I$106=C16,Begegnungen!$I$107=C16),Begegnungen!$I$114,IF(OR(Begegnungen!$K$101=C16,Begegnungen!$K$102=C16,Begegnungen!$K$103=C16,Begegnungen!$K$104=C16,Begegnungen!$K$105=C16,Begegnungen!$K$106=C16,Begegnungen!$K$107=C16),Begegnungen!$K$114,""))</f>
        <v>0</v>
      </c>
      <c r="R16" s="136" t="str">
        <f>IF(OR(Begegnungen!$C$117=C16,Begegnungen!$C$118=C16,Begegnungen!$C$119=C16,Begegnungen!$C$120=C16,Begegnungen!$C$121=C16,Begegnungen!$C$122=C16,Begegnungen!$C$123=C16),Begegnungen!$C$130,IF(OR(Begegnungen!$E$117=C16,Begegnungen!$E$118=C16,Begegnungen!$E$119=C16,Begegnungen!$E$120=C16,Begegnungen!$E$121=C16,Begegnungen!$E$122=C16,Begegnungen!$E$123=C16),Begegnungen!$E$130,""))</f>
        <v>3</v>
      </c>
      <c r="S16" s="66" t="str">
        <f>IF(OR(Begegnungen!$I$117=C16,Begegnungen!$I$118=C16,Begegnungen!$I$119=C16,Begegnungen!$I$120=C16,Begegnungen!$I$121=C16,Begegnungen!$I$122=C16,Begegnungen!$I$123=C16),Begegnungen!$I$130,IF(OR(Begegnungen!$K$117=C16,Begegnungen!$K$118=C16,Begegnungen!$K$119=C16,Begegnungen!$K$120=C16,Begegnungen!$K$121=C16,Begegnungen!$K$122=C16,Begegnungen!$K$123=C16),Begegnungen!$K$130,""))</f>
        <v>3</v>
      </c>
      <c r="T16" s="66" t="str">
        <f>IF(OR(Begegnungen!$C$133=C16,Begegnungen!$C$134=C16,Begegnungen!$C$135=C16,Begegnungen!$C$136=C16,Begegnungen!$C$137=C16,Begegnungen!$C$138=C16,Begegnungen!$C$139=C16),Begegnungen!$C$146,IF(OR(Begegnungen!$E$133=C16,Begegnungen!$E$134=C16,Begegnungen!$E$135=C16,Begegnungen!$E$136=C16,Begegnungen!$E$137=C16,Begegnungen!$E$138=C16,Begegnungen!$E$139=C16),Begegnungen!$E$146,""))</f>
        <v>0</v>
      </c>
      <c r="U16" s="66" t="str">
        <f>IF(OR(Begegnungen!$I$133=C16,Begegnungen!$I$134=C16,Begegnungen!$I$135=C16,Begegnungen!$I$136=C16,Begegnungen!$I$137=C16,Begegnungen!$I$138=C16,Begegnungen!$I$139=C16),Begegnungen!$I$146,IF(OR(Begegnungen!$K$133=C16,Begegnungen!$K$134=C16,Begegnungen!$K$135=C16,Begegnungen!$K$136=C16,Begegnungen!$K$137=C16,Begegnungen!$K$138=C16,Begegnungen!$K$139=C16),Begegnungen!$K$146,""))</f>
        <v>3</v>
      </c>
      <c r="V16" s="66" t="str">
        <f>IF(OR(Begegnungen!$C$149=C16,Begegnungen!$C$150=C16,Begegnungen!$C$151=C16,Begegnungen!$C$152=C16,Begegnungen!$C$153=C16,Begegnungen!$C$154=C16,Begegnungen!$C$155=C16),Begegnungen!$C$162,IF(OR(Begegnungen!$E$149=C16,Begegnungen!$E$150=C16,Begegnungen!$E$151=C16,Begegnungen!$E$152=C16,Begegnungen!$E$153=C16,Begegnungen!$E$154=C16,Begegnungen!$E$155=C16),Begegnungen!$E$162,""))</f>
        <v>0</v>
      </c>
      <c r="W16" s="66" t="str">
        <f>IF(OR(Begegnungen!$I$149=C16,Begegnungen!$I$150=C16,Begegnungen!$I$151=C16,Begegnungen!$I$152=C16,Begegnungen!$I$153=C16,Begegnungen!$I$154=C16,Begegnungen!$I$155=C16),Begegnungen!$I$162,IF(OR(Begegnungen!$K$149=C16,Begegnungen!$K$150=C16,Begegnungen!$K$151=C16,Begegnungen!$K$152=C16,Begegnungen!$K$153=C16,Begegnungen!$K$154=C16,Begegnungen!$K$155=C16),Begegnungen!$K$162,""))</f>
        <v>3</v>
      </c>
      <c r="X16" s="66" t="str">
        <f>IF(OR(Begegnungen!$C$165=C16,Begegnungen!$C$166=C16,Begegnungen!$C$167=C16,Begegnungen!$C$168=C16,Begegnungen!$C$169=C16,Begegnungen!$C$170=C16,Begegnungen!$C$171=C16),Begegnungen!$C$178,IF(OR(Begegnungen!$E$165=C16,Begegnungen!$E$166=C16,Begegnungen!$E$167=C16,Begegnungen!$E$168=C16,Begegnungen!$E$169=C16,Begegnungen!$E$170=C16,Begegnungen!$E$171=C16),Begegnungen!$E$178,""))</f>
        <v>3</v>
      </c>
      <c r="Y16" s="66" t="str">
        <f>IF(OR(Begegnungen!$I$165=C16,Begegnungen!$I$166=C16,Begegnungen!$I$167=C16,Begegnungen!$I$168=C16,Begegnungen!$I$169=C16,Begegnungen!$I$170=C16,Begegnungen!$I$171=C16),Begegnungen!$I$178,IF(OR(Begegnungen!$K$165=C16,Begegnungen!$K$166=C16,Begegnungen!$K$167=C16,Begegnungen!$K$168=C16,Begegnungen!$K$169=C16,Begegnungen!$K$170=C16,Begegnungen!$K$171=C16),Begegnungen!$K$178,""))</f>
        <v>3</v>
      </c>
      <c r="Z16" s="66" t="str">
        <f>IF(OR(Begegnungen!$C$181=C16,Begegnungen!$C$182=C16,Begegnungen!$C$183=C16,Begegnungen!$C$184=C16,Begegnungen!$C$185=C16,Begegnungen!$C$186=C16,Begegnungen!$C$187=C16),Begegnungen!$C$194,IF(OR(Begegnungen!$E$181=C16,Begegnungen!$E$182=C16,Begegnungen!$E$183=C16,Begegnungen!$E$184=C16,Begegnungen!$E$185=C16,Begegnungen!$E$186=C16,Begegnungen!$E$187=C16),Begegnungen!$E$194,""))</f>
        <v>0</v>
      </c>
      <c r="AA16" s="66" t="str">
        <f>IF(OR(Begegnungen!$I$181=C16,Begegnungen!$I$182=C16,Begegnungen!$I$183=C16,Begegnungen!$I$184=C16,Begegnungen!$I$185=C16,Begegnungen!$I$186=C16,Begegnungen!$I$187=C16),Begegnungen!$I$194,IF(OR(Begegnungen!$K$181=C16,Begegnungen!$K$182=C16,Begegnungen!$K$183=C16,Begegnungen!$K$184=C16,Begegnungen!$K$185=C16,Begegnungen!$K$186=C16,Begegnungen!$K$187=C16),Begegnungen!$K$194,""))</f>
        <v>3</v>
      </c>
      <c r="AB16" s="66" t="str">
        <f>IF(OR(Begegnungen!$C$197=C16,Begegnungen!$C$198=C16,Begegnungen!$C$199=C16,Begegnungen!$C$200=C16,Begegnungen!$C$201=C16,Begegnungen!$C$202=C16,Begegnungen!$C$203=C16),Begegnungen!$C$210,IF(OR(Begegnungen!$E$197=C16,Begegnungen!$E$198=C16,Begegnungen!$E$199=C16,Begegnungen!$E$200=C16,Begegnungen!$E$201=C16,Begegnungen!$E$202=C16,Begegnungen!$E$203=C16),Begegnungen!$E$210,""))</f>
        <v>0</v>
      </c>
      <c r="AC16" s="66" t="str">
        <f>IF(OR(Begegnungen!$I$197=C16,Begegnungen!$I$198=C16,Begegnungen!$I$199=C16,Begegnungen!$I$200=C16,Begegnungen!$I$201=C16,Begegnungen!$I$202=C16,Begegnungen!$I$203=C16),Begegnungen!$I$210,IF(OR(Begegnungen!$K$197=C16,Begegnungen!$K$198=C16,Begegnungen!$K$199=C16,Begegnungen!$K$200=C16,Begegnungen!$K$201=C16,Begegnungen!$K$202=C16,Begegnungen!$K$203=C16),Begegnungen!$K$210,""))</f>
        <v>0</v>
      </c>
      <c r="AD16" s="66" t="str">
        <f>IF(OR(Begegnungen!$C$213=C16,Begegnungen!$C$214=C16,Begegnungen!$C$215=C16,Begegnungen!$C$216=C16,Begegnungen!$C$217=C16,Begegnungen!$C$218=C16,Begegnungen!$C$219=C16),Begegnungen!$C$226,IF(OR(Begegnungen!$E$213=C16,Begegnungen!$E$214=C16,Begegnungen!$E$215=C16,Begegnungen!$E$216=C16,Begegnungen!$E$217=C16,Begegnungen!$E$218=C16,Begegnungen!$E$219=C16),Begegnungen!$E$226,""))</f>
        <v>3</v>
      </c>
      <c r="AE16" s="66" t="str">
        <f>IF(OR(Begegnungen!$I$213=C16,Begegnungen!$I$214=C16,Begegnungen!$I$215=C16,Begegnungen!$I$216=C16,Begegnungen!$I$217=C16,Begegnungen!$I$218=C16,Begegnungen!$I$219=C16),Begegnungen!$I$226,IF(OR(Begegnungen!$K$213=C16,Begegnungen!$K$214=C16,Begegnungen!$K$215=C16,Begegnungen!$K$216=C16,Begegnungen!$K$217=C16,Begegnungen!$K$218=C16,Begegnungen!$K$219=C16),Begegnungen!$K$226,""))</f>
        <v>3</v>
      </c>
      <c r="AF16" s="136" t="str">
        <f>IF(OR(Begegnungen!$C$229=C16,Begegnungen!$C$230=C16,Begegnungen!$C$231=C16,Begegnungen!$C$232=C16,Begegnungen!$C$233=C16,Begegnungen!$C$234=C16,Begegnungen!$C$235=C16),Begegnungen!$C$242,IF(OR(Begegnungen!$E$229=C16,Begegnungen!$E$230=C16,Begegnungen!$E$231=C16,Begegnungen!$E$232=C16,Begegnungen!$E$233=C16,Begegnungen!$E$234=C16,Begegnungen!$E$235=C16),Begegnungen!$E$242,""))</f>
        <v/>
      </c>
      <c r="AG16" s="66" t="str">
        <f>IF(OR(Begegnungen!$I$229=C16,Begegnungen!$I$230=C16,Begegnungen!$I$231=C16,Begegnungen!$I$232=C16,Begegnungen!$I$233=C16,Begegnungen!$I$234=C16,Begegnungen!$I$235=C16),Begegnungen!$I$242,IF(OR(Begegnungen!$K$229=C16,Begegnungen!$K$230=C16,Begegnungen!$K$231=C16,Begegnungen!$K$232=C16,Begegnungen!$K$233=C16,Begegnungen!$K$234=C16,Begegnungen!$K$235=C16),Begegnungen!$K$242,""))</f>
        <v/>
      </c>
      <c r="AH16" s="66" t="str">
        <f>IF(OR(Begegnungen!$C$245=C16,Begegnungen!$C$246=C16,Begegnungen!$C$247=C16,Begegnungen!$C$248=C16,Begegnungen!$C$249=C16,Begegnungen!$C$250=C16,Begegnungen!$C$251=C16),Begegnungen!$C$258,IF(OR(Begegnungen!$E$245=C16,Begegnungen!$E$246=C16,Begegnungen!$E$247=C16,Begegnungen!$E$248=C16,Begegnungen!$E$249=C16,Begegnungen!$E$250=C16,Begegnungen!$E$251=C16),Begegnungen!$E$258,""))</f>
        <v>0</v>
      </c>
      <c r="AI16" s="66" t="str">
        <f>IF(OR(Begegnungen!$I$245=C16,Begegnungen!$I$246=C16,Begegnungen!$I$247=C16,Begegnungen!$I$248=C16,Begegnungen!$I$249=C16,Begegnungen!$I$250=C16,Begegnungen!$I$251=C16),Begegnungen!$I$258,IF(OR(Begegnungen!$K$245=C16,Begegnungen!$K$246=C16,Begegnungen!$K$247=C16,Begegnungen!$K$248=C16,Begegnungen!$K$249=C16,Begegnungen!$K$250=C16,Begegnungen!$K$251=C16),Begegnungen!$K$258,""))</f>
        <v>3</v>
      </c>
      <c r="AJ16" s="66" t="str">
        <f>IF(OR(Begegnungen!$C$261=C16,Begegnungen!$C$262=C16,Begegnungen!$C$263=C16,Begegnungen!$C$264=C16,Begegnungen!$C$265=C16,Begegnungen!$C$266=C16,Begegnungen!$C$267=C16),Begegnungen!$C$274,IF(OR(Begegnungen!$E$261=C16,Begegnungen!$E$262=C16,Begegnungen!$E$263=C16,Begegnungen!$E$264=C16,Begegnungen!$E$265=C16,Begegnungen!$E$266=C16,Begegnungen!$E$267=C16),Begegnungen!$E$274,""))</f>
        <v>0</v>
      </c>
      <c r="AK16" s="66" t="str">
        <f>IF(OR(Begegnungen!$I$261=C16,Begegnungen!$I$262=C16,Begegnungen!$I$263=C16,Begegnungen!$I$264=C16,Begegnungen!$I$265=C16,Begegnungen!$I$266=C16,Begegnungen!$I$267=C16),Begegnungen!$I$274,IF(OR(Begegnungen!$K$261=C16,Begegnungen!$K$262=C16,Begegnungen!$K$263=C16,Begegnungen!$K$264=C16,Begegnungen!$K$265=C16,Begegnungen!$K$266=C16,Begegnungen!$K$267=C16),Begegnungen!$K$274,""))</f>
        <v/>
      </c>
      <c r="AL16" s="66" t="str">
        <f>IF(OR(Begegnungen!$C$277=C16,Begegnungen!$C$278=C16,Begegnungen!$C$279=C16,Begegnungen!$C$280=C16,Begegnungen!$C$281=C16,Begegnungen!$C$282=C16,Begegnungen!$C$283=C16),Begegnungen!$C$290,IF(OR(Begegnungen!$E$277=C16,Begegnungen!$E$278=C16,Begegnungen!$E$279=C16,Begegnungen!$E$280=C16,Begegnungen!$E$281=C16,Begegnungen!$E$282=C16,Begegnungen!$E$283=C16),Begegnungen!$E$290,""))</f>
        <v>3</v>
      </c>
      <c r="AM16" s="136" t="str">
        <f>IF(OR(Begegnungen!$I$277=C16,Begegnungen!$I$278=C16,Begegnungen!$I$279=C16,Begegnungen!$I$280=C16,Begegnungen!$I$281=C16,Begegnungen!$I$282=C16,Begegnungen!$I$283=C16),Begegnungen!$I$290,IF(OR(Begegnungen!$K$277=C16,Begegnungen!$K$278=C16,Begegnungen!$K$279=C16,Begegnungen!$K$280=C16,Begegnungen!$K$281=C16,Begegnungen!$K$282=C16,Begegnungen!$K$283=C16),Begegnungen!$K$290,""))</f>
        <v>3</v>
      </c>
      <c r="AN16" s="66" t="str">
        <f>IF(OR(Begegnungen!$C$293=C16,Begegnungen!$C$294=C16,Begegnungen!$C$295=C16,Begegnungen!$C$296=C16,Begegnungen!$C$297=C16,Begegnungen!$C$298=C16,Begegnungen!$C$299=C16),Begegnungen!$C$306,IF(OR(Begegnungen!$E$293=C16,Begegnungen!$E$294=C16,Begegnungen!$E$295=C16,Begegnungen!$E$296=C16,Begegnungen!$E$297=C16,Begegnungen!$E$298=C16,Begegnungen!$E$299=C16),Begegnungen!$E$306,""))</f>
        <v>3</v>
      </c>
      <c r="AO16" s="136" t="str">
        <f>IF(OR(Begegnungen!$I$293=C16,Begegnungen!$I$294=C16,Begegnungen!$I$295=C16,Begegnungen!$I$296=C16,Begegnungen!$I$297=C16,Begegnungen!$I$298=C16,Begegnungen!$I$299=C16),Begegnungen!$I$306,IF(OR(Begegnungen!$K$293=C16,Begegnungen!$K$294=C16,Begegnungen!$K$295=C16,Begegnungen!$K$296=C16,Begegnungen!$K$297=C16,Begegnungen!$K$298=C16,Begegnungen!$K$299=C16),Begegnungen!$K$306,""))</f>
        <v>0</v>
      </c>
      <c r="AP16" s="136" t="str">
        <f>IF(OR(Begegnungen!$C$309=C16,Begegnungen!$C$310=C16,Begegnungen!$C$311=C16,Begegnungen!$C$312=C16,Begegnungen!$C$313=C16,Begegnungen!$C$314=C16,Begegnungen!$C$315=C16),Begegnungen!$C$322,IF(OR(Begegnungen!$E$309=C16,Begegnungen!$E$310=C16,Begegnungen!$E$311=C16,Begegnungen!$E$312=C16,Begegnungen!$E$313=C16,Begegnungen!$E$314=C16,Begegnungen!$E$315=C16),Begegnungen!$E$322,""))</f>
        <v>0</v>
      </c>
      <c r="AQ16" s="66" t="str">
        <f>IF(OR(Begegnungen!$I$309=C16,Begegnungen!$I$310=C16,Begegnungen!$I$311=C16,Begegnungen!$I$312=C16,Begegnungen!$I$313=C16,Begegnungen!$I$314=C16,Begegnungen!$I$315=C16),Begegnungen!$I$322,IF(OR(Begegnungen!$K$309=C16,Begegnungen!$K$310=C16,Begegnungen!$K$311=C16,Begegnungen!$K$312=C16,Begegnungen!$K$313=C16,Begegnungen!$K$314=C16,Begegnungen!$K$315=C16),Begegnungen!$K$322,""))</f>
        <v>3</v>
      </c>
      <c r="AR16" s="18">
        <f t="shared" si="2"/>
        <v>62</v>
      </c>
      <c r="AS16" s="19">
        <f t="shared" si="0"/>
        <v>37</v>
      </c>
      <c r="AT16" s="20">
        <f t="shared" si="1"/>
        <v>1.85</v>
      </c>
      <c r="AU16" s="21">
        <f t="shared" si="3"/>
        <v>3.525675675675676</v>
      </c>
      <c r="AW16" s="70">
        <f t="shared" si="4"/>
        <v>20</v>
      </c>
      <c r="AX16" s="30">
        <f t="shared" si="5"/>
        <v>2</v>
      </c>
      <c r="AY16" s="71">
        <f t="shared" si="6"/>
        <v>15</v>
      </c>
    </row>
    <row r="17" spans="2:51" x14ac:dyDescent="0.25">
      <c r="B17" s="3">
        <v>12</v>
      </c>
      <c r="C17" s="65" t="s">
        <v>15</v>
      </c>
      <c r="D17" s="66" t="str">
        <f>IF(OR(Begegnungen!$C$3=C17,Begegnungen!$C$4=C17,Begegnungen!$C$5=C17,Begegnungen!$C$6=C17,Begegnungen!$C$7=C17,Begegnungen!$C$8=C17,Begegnungen!$C$9=C17),Begegnungen!$C$16,IF(OR(Begegnungen!$E$3=C17,Begegnungen!$E$4=C17,Begegnungen!$E$5=C17,Begegnungen!$E$6=C17,Begegnungen!$E$7=C17,Begegnungen!$E$8=C17,Begegnungen!$E$9=C17),Begegnungen!$E$16,""))</f>
        <v>1</v>
      </c>
      <c r="E17" s="66" t="str">
        <f>IF(OR(Begegnungen!$I$3=C17,Begegnungen!$I$4=C17,Begegnungen!$I$5=C17,Begegnungen!$I$6=C17,Begegnungen!$I$7=C17,Begegnungen!$I$8=C17,Begegnungen!$I$9=C17),Begegnungen!$I$16,IF(OR(Begegnungen!$K$3=C17,Begegnungen!$K$4=C17,Begegnungen!$K$5=C17,Begegnungen!$K$6=C17,Begegnungen!$K$7=C17,Begegnungen!$K$8=C17,Begegnungen!$K$9=C17),Begegnungen!$K$16,""))</f>
        <v>3</v>
      </c>
      <c r="F17" s="66" t="str">
        <f>IF(OR(Begegnungen!$C$19=C17,Begegnungen!$C$20=C17,Begegnungen!$C$21=C17,Begegnungen!$C$22=C17,Begegnungen!$C$23=C17,Begegnungen!$C$24=C17,Begegnungen!$C$25=C17),Begegnungen!$C$32,IF(OR(Begegnungen!$E$19=C17,Begegnungen!$E$20=C17,Begegnungen!$E$21=C17,Begegnungen!$E$22=C17,Begegnungen!$E$23=C17,Begegnungen!$E$24=C17,Begegnungen!$E$25=C17),Begegnungen!$E$32,""))</f>
        <v>0</v>
      </c>
      <c r="G17" s="66" t="str">
        <f>IF(OR(Begegnungen!$I$19=C17,Begegnungen!$I$20=C17,Begegnungen!$I$21=C17,Begegnungen!$I$22=C17,Begegnungen!$I$23=C17,Begegnungen!$I$24=C17,Begegnungen!$I$25=C17),Begegnungen!$I$32,IF(OR(Begegnungen!$K$19=C17,Begegnungen!$K$20=C17,Begegnungen!$K$21=C17,Begegnungen!$K$22=C17,Begegnungen!$K$23=C17,Begegnungen!$K$24=C17,Begegnungen!$K$25=C17),Begegnungen!$K$32,""))</f>
        <v>0</v>
      </c>
      <c r="H17" s="66" t="str">
        <f>IF(OR(Begegnungen!$C$35=C17,Begegnungen!$C$36=C17,Begegnungen!$C$37=C17,Begegnungen!$C$38=C17,Begegnungen!$C$39=C17,Begegnungen!$C$40=C17,Begegnungen!$C$41=C17),Begegnungen!$C$49,IF(OR(Begegnungen!$E$35=C17,Begegnungen!$E$36=C17,Begegnungen!$E$37=C17,Begegnungen!$E$38=C17,Begegnungen!$E$39=C17,Begegnungen!$E$40=C17,Begegnungen!$E$41=C17),Begegnungen!$E$49,""))</f>
        <v/>
      </c>
      <c r="I17" s="66" t="str">
        <f>IF(OR(Begegnungen!$I$35=C17,Begegnungen!$I$36=C17,Begegnungen!$I$37=C17,Begegnungen!$I$38=C17,Begegnungen!$I$39=C17,Begegnungen!$I$40=C17,Begegnungen!$I$41=C17),Begegnungen!$I$49,IF(OR(Begegnungen!$K$35=C17,Begegnungen!$K$36=C17,Begegnungen!$K$37=C17,Begegnungen!$K$38=C17,Begegnungen!$K$39=C17,Begegnungen!$K$40=C17,Begegnungen!$K$41=C17),Begegnungen!$K$49,""))</f>
        <v>1</v>
      </c>
      <c r="J17" s="66" t="str">
        <f>IF(OR(Begegnungen!$C$52=C17,Begegnungen!$C$53=C17,Begegnungen!$C$54=C17,Begegnungen!$C$55=C17,Begegnungen!$C$56=C17,Begegnungen!$C$57=C17,Begegnungen!$C$58=C17),Begegnungen!$C$65,IF(OR(Begegnungen!$E$52=C17,Begegnungen!$E$53=C17,Begegnungen!$E$54=C17,Begegnungen!$E$55=C17,Begegnungen!$E$56=C17,Begegnungen!$E$57=C17,Begegnungen!$E$58=C17),Begegnungen!$E$65,""))</f>
        <v>3</v>
      </c>
      <c r="K17" s="66" t="str">
        <f>IF(OR(Begegnungen!$I$52=C17,Begegnungen!$I$53=C17,Begegnungen!$I$54=C17,Begegnungen!$I$55=C17,Begegnungen!$I$56=C17,Begegnungen!$I$57=C17,Begegnungen!$I$58=C17),Begegnungen!$I$65,IF(OR(Begegnungen!$K$52=C17,Begegnungen!$K$53=C17,Begegnungen!$K$54=C17,Begegnungen!$K$55=C17,Begegnungen!$K$56=C17,Begegnungen!$K$57=C17,Begegnungen!$K$58=C17),Begegnungen!$K$65,""))</f>
        <v/>
      </c>
      <c r="L17" s="136" t="str">
        <f>IF(OR(Begegnungen!$C$68=C17,Begegnungen!$C$69=C17,Begegnungen!$C$70=C17,Begegnungen!$C$71=C17,Begegnungen!$C$72=C17,Begegnungen!$C$73=C17,Begegnungen!$C$74=C17),Begegnungen!$C$81,IF(OR(Begegnungen!$E$68=C17,Begegnungen!$E$69=C17,Begegnungen!$E$70=C17,Begegnungen!$E$71=C17,Begegnungen!$E$72=C17,Begegnungen!$E$73=C17,Begegnungen!$E$74=C17),Begegnungen!$E$81,""))</f>
        <v>3</v>
      </c>
      <c r="M17" s="66" t="str">
        <f>IF(OR(Begegnungen!$I$68=C17,Begegnungen!$I$69=C17,Begegnungen!$I$70=C17,Begegnungen!$I$71=C17,Begegnungen!$I$72=C17,Begegnungen!$I$73=C17,Begegnungen!$I$74=C17),Begegnungen!$I$81,IF(OR(Begegnungen!$K$68=C17,Begegnungen!$K$69=C17,Begegnungen!$K$70=C17,Begegnungen!$K$71=C17,Begegnungen!$K$72=C17,Begegnungen!$K$73=C17,Begegnungen!$K$74=C17),Begegnungen!$K$81,""))</f>
        <v>3</v>
      </c>
      <c r="N17" s="66" t="str">
        <f>IF(OR(Begegnungen!$C$84=C17,Begegnungen!$C$85=C17,Begegnungen!$C$86=C17,Begegnungen!$C$87=C17,Begegnungen!$C$88=C17,Begegnungen!$C$89=C17,Begegnungen!$C$90=C17),Begegnungen!$C$98,IF(OR(Begegnungen!$E$84=C17,Begegnungen!$E$85=C17,Begegnungen!$E$86=C17,Begegnungen!$E$87=C17,Begegnungen!$E$88=C17,Begegnungen!$E$89=C17,Begegnungen!$E$90=C17),Begegnungen!$E$98,""))</f>
        <v>0</v>
      </c>
      <c r="O17" s="66" t="str">
        <f>IF(OR(Begegnungen!$I$84=C17,Begegnungen!$I$85=C17,Begegnungen!$I$86=C17,Begegnungen!$I$87=C17,Begegnungen!$I$88=C17,Begegnungen!$I$89=C17,Begegnungen!$I$90=C17),Begegnungen!$I$98,IF(OR(Begegnungen!$K$84=C17,Begegnungen!$K$85=C17,Begegnungen!$K$86=C17,Begegnungen!$K$87=C17,Begegnungen!$K$88=C17,Begegnungen!$K$89=C17,Begegnungen!$K$90=C17),Begegnungen!$K$98,""))</f>
        <v>3</v>
      </c>
      <c r="P17" s="66" t="str">
        <f>IF(OR(Begegnungen!$C$101=C17,Begegnungen!$C$102=C17,Begegnungen!$C$103=C17,Begegnungen!$C$104=C17,Begegnungen!$C$105=C17,Begegnungen!$C$106=C17,Begegnungen!$C$107=C17),Begegnungen!$C$114,IF(OR(Begegnungen!$E$101=C17,Begegnungen!$E$102=C17,Begegnungen!$E$103=C17,Begegnungen!$E$104=C17,Begegnungen!$E$105=C17,Begegnungen!$E$106=C17,Begegnungen!$E$107=C17),Begegnungen!$E$114,""))</f>
        <v>3</v>
      </c>
      <c r="Q17" s="66" t="str">
        <f>IF(OR(Begegnungen!$I$101=C17,Begegnungen!$I$102=C17,Begegnungen!$I$103=C17,Begegnungen!$I$104=C17,Begegnungen!$I$105=C17,Begegnungen!$I$106=C17,Begegnungen!$I$107=C17),Begegnungen!$I$114,IF(OR(Begegnungen!$K$101=C17,Begegnungen!$K$102=C17,Begegnungen!$K$103=C17,Begegnungen!$K$104=C17,Begegnungen!$K$105=C17,Begegnungen!$K$106=C17,Begegnungen!$K$107=C17),Begegnungen!$K$114,""))</f>
        <v>0</v>
      </c>
      <c r="R17" s="136" t="str">
        <f>IF(OR(Begegnungen!$C$117=C17,Begegnungen!$C$118=C17,Begegnungen!$C$119=C17,Begegnungen!$C$120=C17,Begegnungen!$C$121=C17,Begegnungen!$C$122=C17,Begegnungen!$C$123=C17),Begegnungen!$C$130,IF(OR(Begegnungen!$E$117=C17,Begegnungen!$E$118=C17,Begegnungen!$E$119=C17,Begegnungen!$E$120=C17,Begegnungen!$E$121=C17,Begegnungen!$E$122=C17,Begegnungen!$E$123=C17),Begegnungen!$E$130,""))</f>
        <v>3</v>
      </c>
      <c r="S17" s="66" t="str">
        <f>IF(OR(Begegnungen!$I$117=C17,Begegnungen!$I$118=C17,Begegnungen!$I$119=C17,Begegnungen!$I$120=C17,Begegnungen!$I$121=C17,Begegnungen!$I$122=C17,Begegnungen!$I$123=C17),Begegnungen!$I$130,IF(OR(Begegnungen!$K$117=C17,Begegnungen!$K$118=C17,Begegnungen!$K$119=C17,Begegnungen!$K$120=C17,Begegnungen!$K$121=C17,Begegnungen!$K$122=C17,Begegnungen!$K$123=C17),Begegnungen!$K$130,""))</f>
        <v>0</v>
      </c>
      <c r="T17" s="66" t="str">
        <f>IF(OR(Begegnungen!$C$133=C17,Begegnungen!$C$134=C17,Begegnungen!$C$135=C17,Begegnungen!$C$136=C17,Begegnungen!$C$137=C17,Begegnungen!$C$138=C17,Begegnungen!$C$139=C17),Begegnungen!$C$146,IF(OR(Begegnungen!$E$133=C17,Begegnungen!$E$134=C17,Begegnungen!$E$135=C17,Begegnungen!$E$136=C17,Begegnungen!$E$137=C17,Begegnungen!$E$138=C17,Begegnungen!$E$139=C17),Begegnungen!$E$146,""))</f>
        <v/>
      </c>
      <c r="U17" s="66" t="str">
        <f>IF(OR(Begegnungen!$I$133=C17,Begegnungen!$I$134=C17,Begegnungen!$I$135=C17,Begegnungen!$I$136=C17,Begegnungen!$I$137=C17,Begegnungen!$I$138=C17,Begegnungen!$I$139=C17),Begegnungen!$I$146,IF(OR(Begegnungen!$K$133=C17,Begegnungen!$K$134=C17,Begegnungen!$K$135=C17,Begegnungen!$K$136=C17,Begegnungen!$K$137=C17,Begegnungen!$K$138=C17,Begegnungen!$K$139=C17),Begegnungen!$K$146,""))</f>
        <v>0</v>
      </c>
      <c r="V17" s="66" t="str">
        <f>IF(OR(Begegnungen!$C$149=C17,Begegnungen!$C$150=C17,Begegnungen!$C$151=C17,Begegnungen!$C$152=C17,Begegnungen!$C$153=C17,Begegnungen!$C$154=C17,Begegnungen!$C$155=C17),Begegnungen!$C$162,IF(OR(Begegnungen!$E$149=C17,Begegnungen!$E$150=C17,Begegnungen!$E$151=C17,Begegnungen!$E$152=C17,Begegnungen!$E$153=C17,Begegnungen!$E$154=C17,Begegnungen!$E$155=C17),Begegnungen!$E$162,""))</f>
        <v>3</v>
      </c>
      <c r="W17" s="66" t="str">
        <f>IF(OR(Begegnungen!$I$149=C17,Begegnungen!$I$150=C17,Begegnungen!$I$151=C17,Begegnungen!$I$152=C17,Begegnungen!$I$153=C17,Begegnungen!$I$154=C17,Begegnungen!$I$155=C17),Begegnungen!$I$162,IF(OR(Begegnungen!$K$149=C17,Begegnungen!$K$150=C17,Begegnungen!$K$151=C17,Begegnungen!$K$152=C17,Begegnungen!$K$153=C17,Begegnungen!$K$154=C17,Begegnungen!$K$155=C17),Begegnungen!$K$162,""))</f>
        <v/>
      </c>
      <c r="X17" s="66" t="str">
        <f>IF(OR(Begegnungen!$C$165=C17,Begegnungen!$C$166=C17,Begegnungen!$C$167=C17,Begegnungen!$C$168=C17,Begegnungen!$C$169=C17,Begegnungen!$C$170=C17,Begegnungen!$C$171=C17),Begegnungen!$C$178,IF(OR(Begegnungen!$E$165=C17,Begegnungen!$E$166=C17,Begegnungen!$E$167=C17,Begegnungen!$E$168=C17,Begegnungen!$E$169=C17,Begegnungen!$E$170=C17,Begegnungen!$E$171=C17),Begegnungen!$E$178,""))</f>
        <v/>
      </c>
      <c r="Y17" s="66" t="str">
        <f>IF(OR(Begegnungen!$I$165=C17,Begegnungen!$I$166=C17,Begegnungen!$I$167=C17,Begegnungen!$I$168=C17,Begegnungen!$I$169=C17,Begegnungen!$I$170=C17,Begegnungen!$I$171=C17),Begegnungen!$I$178,IF(OR(Begegnungen!$K$165=C17,Begegnungen!$K$166=C17,Begegnungen!$K$167=C17,Begegnungen!$K$168=C17,Begegnungen!$K$169=C17,Begegnungen!$K$170=C17,Begegnungen!$K$171=C17),Begegnungen!$K$178,""))</f>
        <v>3</v>
      </c>
      <c r="Z17" s="66" t="str">
        <f>IF(OR(Begegnungen!$C$181=C17,Begegnungen!$C$182=C17,Begegnungen!$C$183=C17,Begegnungen!$C$184=C17,Begegnungen!$C$185=C17,Begegnungen!$C$186=C17,Begegnungen!$C$187=C17),Begegnungen!$C$194,IF(OR(Begegnungen!$E$181=C17,Begegnungen!$E$182=C17,Begegnungen!$E$183=C17,Begegnungen!$E$184=C17,Begegnungen!$E$185=C17,Begegnungen!$E$186=C17,Begegnungen!$E$187=C17),Begegnungen!$E$194,""))</f>
        <v/>
      </c>
      <c r="AA17" s="66" t="str">
        <f>IF(OR(Begegnungen!$I$181=C17,Begegnungen!$I$182=C17,Begegnungen!$I$183=C17,Begegnungen!$I$184=C17,Begegnungen!$I$185=C17,Begegnungen!$I$186=C17,Begegnungen!$I$187=C17),Begegnungen!$I$194,IF(OR(Begegnungen!$K$181=C17,Begegnungen!$K$182=C17,Begegnungen!$K$183=C17,Begegnungen!$K$184=C17,Begegnungen!$K$185=C17,Begegnungen!$K$186=C17,Begegnungen!$K$187=C17),Begegnungen!$K$194,""))</f>
        <v>0</v>
      </c>
      <c r="AB17" s="66" t="str">
        <f>IF(OR(Begegnungen!$C$197=C17,Begegnungen!$C$198=C17,Begegnungen!$C$199=C17,Begegnungen!$C$200=C17,Begegnungen!$C$201=C17,Begegnungen!$C$202=C17,Begegnungen!$C$203=C17),Begegnungen!$C$210,IF(OR(Begegnungen!$E$197=C17,Begegnungen!$E$198=C17,Begegnungen!$E$199=C17,Begegnungen!$E$200=C17,Begegnungen!$E$201=C17,Begegnungen!$E$202=C17,Begegnungen!$E$203=C17),Begegnungen!$E$210,""))</f>
        <v>0</v>
      </c>
      <c r="AC17" s="66" t="str">
        <f>IF(OR(Begegnungen!$I$197=C17,Begegnungen!$I$198=C17,Begegnungen!$I$199=C17,Begegnungen!$I$200=C17,Begegnungen!$I$201=C17,Begegnungen!$I$202=C17,Begegnungen!$I$203=C17),Begegnungen!$I$210,IF(OR(Begegnungen!$K$197=C17,Begegnungen!$K$198=C17,Begegnungen!$K$199=C17,Begegnungen!$K$200=C17,Begegnungen!$K$201=C17,Begegnungen!$K$202=C17,Begegnungen!$K$203=C17),Begegnungen!$K$210,""))</f>
        <v>3</v>
      </c>
      <c r="AD17" s="66" t="str">
        <f>IF(OR(Begegnungen!$C$213=C17,Begegnungen!$C$214=C17,Begegnungen!$C$215=C17,Begegnungen!$C$216=C17,Begegnungen!$C$217=C17,Begegnungen!$C$218=C17,Begegnungen!$C$219=C17),Begegnungen!$C$226,IF(OR(Begegnungen!$E$213=C17,Begegnungen!$E$214=C17,Begegnungen!$E$215=C17,Begegnungen!$E$216=C17,Begegnungen!$E$217=C17,Begegnungen!$E$218=C17,Begegnungen!$E$219=C17),Begegnungen!$E$226,""))</f>
        <v/>
      </c>
      <c r="AE17" s="66" t="str">
        <f>IF(OR(Begegnungen!$I$213=C17,Begegnungen!$I$214=C17,Begegnungen!$I$215=C17,Begegnungen!$I$216=C17,Begegnungen!$I$217=C17,Begegnungen!$I$218=C17,Begegnungen!$I$219=C17),Begegnungen!$I$226,IF(OR(Begegnungen!$K$213=C17,Begegnungen!$K$214=C17,Begegnungen!$K$215=C17,Begegnungen!$K$216=C17,Begegnungen!$K$217=C17,Begegnungen!$K$218=C17,Begegnungen!$K$219=C17),Begegnungen!$K$226,""))</f>
        <v/>
      </c>
      <c r="AF17" s="136" t="str">
        <f>IF(OR(Begegnungen!$C$229=C17,Begegnungen!$C$230=C17,Begegnungen!$C$231=C17,Begegnungen!$C$232=C17,Begegnungen!$C$233=C17,Begegnungen!$C$234=C17,Begegnungen!$C$235=C17),Begegnungen!$C$242,IF(OR(Begegnungen!$E$229=C17,Begegnungen!$E$230=C17,Begegnungen!$E$231=C17,Begegnungen!$E$232=C17,Begegnungen!$E$233=C17,Begegnungen!$E$234=C17,Begegnungen!$E$235=C17),Begegnungen!$E$242,""))</f>
        <v>0</v>
      </c>
      <c r="AG17" s="66" t="str">
        <f>IF(OR(Begegnungen!$I$229=C17,Begegnungen!$I$230=C17,Begegnungen!$I$231=C17,Begegnungen!$I$232=C17,Begegnungen!$I$233=C17,Begegnungen!$I$234=C17,Begegnungen!$I$235=C17),Begegnungen!$I$242,IF(OR(Begegnungen!$K$229=C17,Begegnungen!$K$230=C17,Begegnungen!$K$231=C17,Begegnungen!$K$232=C17,Begegnungen!$K$233=C17,Begegnungen!$K$234=C17,Begegnungen!$K$235=C17),Begegnungen!$K$242,""))</f>
        <v>3</v>
      </c>
      <c r="AH17" s="66" t="str">
        <f>IF(OR(Begegnungen!$C$245=C17,Begegnungen!$C$246=C17,Begegnungen!$C$247=C17,Begegnungen!$C$248=C17,Begegnungen!$C$249=C17,Begegnungen!$C$250=C17,Begegnungen!$C$251=C17),Begegnungen!$C$258,IF(OR(Begegnungen!$E$245=C17,Begegnungen!$E$246=C17,Begegnungen!$E$247=C17,Begegnungen!$E$248=C17,Begegnungen!$E$249=C17,Begegnungen!$E$250=C17,Begegnungen!$E$251=C17),Begegnungen!$E$258,""))</f>
        <v>0</v>
      </c>
      <c r="AI17" s="66" t="str">
        <f>IF(OR(Begegnungen!$I$245=C17,Begegnungen!$I$246=C17,Begegnungen!$I$247=C17,Begegnungen!$I$248=C17,Begegnungen!$I$249=C17,Begegnungen!$I$250=C17,Begegnungen!$I$251=C17),Begegnungen!$I$258,IF(OR(Begegnungen!$K$245=C17,Begegnungen!$K$246=C17,Begegnungen!$K$247=C17,Begegnungen!$K$248=C17,Begegnungen!$K$249=C17,Begegnungen!$K$250=C17,Begegnungen!$K$251=C17),Begegnungen!$K$258,""))</f>
        <v/>
      </c>
      <c r="AJ17" s="66" t="str">
        <f>IF(OR(Begegnungen!$C$261=C17,Begegnungen!$C$262=C17,Begegnungen!$C$263=C17,Begegnungen!$C$264=C17,Begegnungen!$C$265=C17,Begegnungen!$C$266=C17,Begegnungen!$C$267=C17),Begegnungen!$C$274,IF(OR(Begegnungen!$E$261=C17,Begegnungen!$E$262=C17,Begegnungen!$E$263=C17,Begegnungen!$E$264=C17,Begegnungen!$E$265=C17,Begegnungen!$E$266=C17,Begegnungen!$E$267=C17),Begegnungen!$E$274,""))</f>
        <v>3</v>
      </c>
      <c r="AK17" s="66" t="str">
        <f>IF(OR(Begegnungen!$I$261=C17,Begegnungen!$I$262=C17,Begegnungen!$I$263=C17,Begegnungen!$I$264=C17,Begegnungen!$I$265=C17,Begegnungen!$I$266=C17,Begegnungen!$I$267=C17),Begegnungen!$I$274,IF(OR(Begegnungen!$K$261=C17,Begegnungen!$K$262=C17,Begegnungen!$K$263=C17,Begegnungen!$K$264=C17,Begegnungen!$K$265=C17,Begegnungen!$K$266=C17,Begegnungen!$K$267=C17),Begegnungen!$K$274,""))</f>
        <v>1</v>
      </c>
      <c r="AL17" s="66" t="str">
        <f>IF(OR(Begegnungen!$C$277=C17,Begegnungen!$C$278=C17,Begegnungen!$C$279=C17,Begegnungen!$C$280=C17,Begegnungen!$C$281=C17,Begegnungen!$C$282=C17,Begegnungen!$C$283=C17),Begegnungen!$C$290,IF(OR(Begegnungen!$E$277=C17,Begegnungen!$E$278=C17,Begegnungen!$E$279=C17,Begegnungen!$E$280=C17,Begegnungen!$E$281=C17,Begegnungen!$E$282=C17,Begegnungen!$E$283=C17),Begegnungen!$E$290,""))</f>
        <v/>
      </c>
      <c r="AM17" s="136" t="str">
        <f>IF(OR(Begegnungen!$I$277=C17,Begegnungen!$I$278=C17,Begegnungen!$I$279=C17,Begegnungen!$I$280=C17,Begegnungen!$I$281=C17,Begegnungen!$I$282=C17,Begegnungen!$I$283=C17),Begegnungen!$I$290,IF(OR(Begegnungen!$K$277=C17,Begegnungen!$K$278=C17,Begegnungen!$K$279=C17,Begegnungen!$K$280=C17,Begegnungen!$K$281=C17,Begegnungen!$K$282=C17,Begegnungen!$K$283=C17),Begegnungen!$K$290,""))</f>
        <v>0</v>
      </c>
      <c r="AN17" s="66" t="str">
        <f>IF(OR(Begegnungen!$C$293=C17,Begegnungen!$C$294=C17,Begegnungen!$C$295=C17,Begegnungen!$C$296=C17,Begegnungen!$C$297=C17,Begegnungen!$C$298=C17,Begegnungen!$C$299=C17),Begegnungen!$C$306,IF(OR(Begegnungen!$E$293=C17,Begegnungen!$E$294=C17,Begegnungen!$E$295=C17,Begegnungen!$E$296=C17,Begegnungen!$E$297=C17,Begegnungen!$E$298=C17,Begegnungen!$E$299=C17),Begegnungen!$E$306,""))</f>
        <v>0</v>
      </c>
      <c r="AO17" s="136" t="str">
        <f>IF(OR(Begegnungen!$I$293=C17,Begegnungen!$I$294=C17,Begegnungen!$I$295=C17,Begegnungen!$I$296=C17,Begegnungen!$I$297=C17,Begegnungen!$I$298=C17,Begegnungen!$I$299=C17),Begegnungen!$I$306,IF(OR(Begegnungen!$K$293=C17,Begegnungen!$K$294=C17,Begegnungen!$K$295=C17,Begegnungen!$K$296=C17,Begegnungen!$K$297=C17,Begegnungen!$K$298=C17,Begegnungen!$K$299=C17),Begegnungen!$K$306,""))</f>
        <v>0</v>
      </c>
      <c r="AP17" s="136" t="str">
        <f>IF(OR(Begegnungen!$C$309=C17,Begegnungen!$C$310=C17,Begegnungen!$C$311=C17,Begegnungen!$C$312=C17,Begegnungen!$C$313=C17,Begegnungen!$C$314=C17,Begegnungen!$C$315=C17),Begegnungen!$C$322,IF(OR(Begegnungen!$E$309=C17,Begegnungen!$E$310=C17,Begegnungen!$E$311=C17,Begegnungen!$E$312=C17,Begegnungen!$E$313=C17,Begegnungen!$E$314=C17,Begegnungen!$E$315=C17),Begegnungen!$E$322,""))</f>
        <v>3</v>
      </c>
      <c r="AQ17" s="66" t="str">
        <f>IF(OR(Begegnungen!$I$309=C17,Begegnungen!$I$310=C17,Begegnungen!$I$311=C17,Begegnungen!$I$312=C17,Begegnungen!$I$313=C17,Begegnungen!$I$314=C17,Begegnungen!$I$315=C17),Begegnungen!$I$322,IF(OR(Begegnungen!$K$309=C17,Begegnungen!$K$310=C17,Begegnungen!$K$311=C17,Begegnungen!$K$312=C17,Begegnungen!$K$313=C17,Begegnungen!$K$314=C17,Begegnungen!$K$315=C17),Begegnungen!$K$322,""))</f>
        <v/>
      </c>
      <c r="AR17" s="18">
        <f t="shared" si="2"/>
        <v>42</v>
      </c>
      <c r="AS17" s="19">
        <f t="shared" si="0"/>
        <v>29</v>
      </c>
      <c r="AT17" s="20">
        <f t="shared" si="1"/>
        <v>1.4500000000000002</v>
      </c>
      <c r="AU17" s="21">
        <f t="shared" si="3"/>
        <v>2.8982758620689655</v>
      </c>
      <c r="AW17" s="70">
        <f t="shared" si="4"/>
        <v>13</v>
      </c>
      <c r="AX17" s="30">
        <f t="shared" si="5"/>
        <v>3</v>
      </c>
      <c r="AY17" s="71">
        <f t="shared" si="6"/>
        <v>13</v>
      </c>
    </row>
    <row r="18" spans="2:51" x14ac:dyDescent="0.25">
      <c r="B18" s="3">
        <v>13</v>
      </c>
      <c r="C18" s="65" t="s">
        <v>12</v>
      </c>
      <c r="D18" s="66" t="str">
        <f>IF(OR(Begegnungen!$C$3=C18,Begegnungen!$C$4=C18,Begegnungen!$C$5=C18,Begegnungen!$C$6=C18,Begegnungen!$C$7=C18,Begegnungen!$C$8=C18,Begegnungen!$C$9=C18),Begegnungen!$C$16,IF(OR(Begegnungen!$E$3=C18,Begegnungen!$E$4=C18,Begegnungen!$E$5=C18,Begegnungen!$E$6=C18,Begegnungen!$E$7=C18,Begegnungen!$E$8=C18,Begegnungen!$E$9=C18),Begegnungen!$E$16,""))</f>
        <v/>
      </c>
      <c r="E18" s="66" t="str">
        <f>IF(OR(Begegnungen!$I$3=C18,Begegnungen!$I$4=C18,Begegnungen!$I$5=C18,Begegnungen!$I$6=C18,Begegnungen!$I$7=C18,Begegnungen!$I$8=C18,Begegnungen!$I$9=C18),Begegnungen!$I$16,IF(OR(Begegnungen!$K$3=C18,Begegnungen!$K$4=C18,Begegnungen!$K$5=C18,Begegnungen!$K$6=C18,Begegnungen!$K$7=C18,Begegnungen!$K$8=C18,Begegnungen!$K$9=C18),Begegnungen!$K$16,""))</f>
        <v/>
      </c>
      <c r="F18" s="66" t="str">
        <f>IF(OR(Begegnungen!$C$19=C18,Begegnungen!$C$20=C18,Begegnungen!$C$21=C18,Begegnungen!$C$22=C18,Begegnungen!$C$23=C18,Begegnungen!$C$24=C18,Begegnungen!$C$25=C18),Begegnungen!$C$32,IF(OR(Begegnungen!$E$19=C18,Begegnungen!$E$20=C18,Begegnungen!$E$21=C18,Begegnungen!$E$22=C18,Begegnungen!$E$23=C18,Begegnungen!$E$24=C18,Begegnungen!$E$25=C18),Begegnungen!$E$32,""))</f>
        <v/>
      </c>
      <c r="G18" s="66" t="str">
        <f>IF(OR(Begegnungen!$I$19=C18,Begegnungen!$I$20=C18,Begegnungen!$I$21=C18,Begegnungen!$I$22=C18,Begegnungen!$I$23=C18,Begegnungen!$I$24=C18,Begegnungen!$I$25=C18),Begegnungen!$I$32,IF(OR(Begegnungen!$K$19=C18,Begegnungen!$K$20=C18,Begegnungen!$K$21=C18,Begegnungen!$K$22=C18,Begegnungen!$K$23=C18,Begegnungen!$K$24=C18,Begegnungen!$K$25=C18),Begegnungen!$K$32,""))</f>
        <v/>
      </c>
      <c r="H18" s="66" t="str">
        <f>IF(OR(Begegnungen!$C$35=C18,Begegnungen!$C$36=C18,Begegnungen!$C$37=C18,Begegnungen!$C$38=C18,Begegnungen!$C$39=C18,Begegnungen!$C$40=C18,Begegnungen!$C$41=C18),Begegnungen!$C$49,IF(OR(Begegnungen!$E$35=C18,Begegnungen!$E$36=C18,Begegnungen!$E$37=C18,Begegnungen!$E$38=C18,Begegnungen!$E$39=C18,Begegnungen!$E$40=C18,Begegnungen!$E$41=C18),Begegnungen!$E$49,""))</f>
        <v/>
      </c>
      <c r="I18" s="66" t="str">
        <f>IF(OR(Begegnungen!$I$35=C18,Begegnungen!$I$36=C18,Begegnungen!$I$37=C18,Begegnungen!$I$38=C18,Begegnungen!$I$39=C18,Begegnungen!$I$40=C18,Begegnungen!$I$41=C18),Begegnungen!$I$49,IF(OR(Begegnungen!$K$35=C18,Begegnungen!$K$36=C18,Begegnungen!$K$37=C18,Begegnungen!$K$38=C18,Begegnungen!$K$39=C18,Begegnungen!$K$40=C18,Begegnungen!$K$41=C18),Begegnungen!$K$49,""))</f>
        <v/>
      </c>
      <c r="J18" s="66" t="str">
        <f>IF(OR(Begegnungen!$C$52=C18,Begegnungen!$C$53=C18,Begegnungen!$C$54=C18,Begegnungen!$C$55=C18,Begegnungen!$C$56=C18,Begegnungen!$C$57=C18,Begegnungen!$C$58=C18),Begegnungen!$C$65,IF(OR(Begegnungen!$E$52=C18,Begegnungen!$E$53=C18,Begegnungen!$E$54=C18,Begegnungen!$E$55=C18,Begegnungen!$E$56=C18,Begegnungen!$E$57=C18,Begegnungen!$E$58=C18),Begegnungen!$E$65,""))</f>
        <v/>
      </c>
      <c r="K18" s="66" t="str">
        <f>IF(OR(Begegnungen!$I$52=C18,Begegnungen!$I$53=C18,Begegnungen!$I$54=C18,Begegnungen!$I$55=C18,Begegnungen!$I$56=C18,Begegnungen!$I$57=C18,Begegnungen!$I$58=C18),Begegnungen!$I$65,IF(OR(Begegnungen!$K$52=C18,Begegnungen!$K$53=C18,Begegnungen!$K$54=C18,Begegnungen!$K$55=C18,Begegnungen!$K$56=C18,Begegnungen!$K$57=C18,Begegnungen!$K$58=C18),Begegnungen!$K$65,""))</f>
        <v/>
      </c>
      <c r="L18" s="136" t="str">
        <f>IF(OR(Begegnungen!$C$68=C18,Begegnungen!$C$69=C18,Begegnungen!$C$70=C18,Begegnungen!$C$71=C18,Begegnungen!$C$72=C18,Begegnungen!$C$73=C18,Begegnungen!$C$74=C18),Begegnungen!$C$81,IF(OR(Begegnungen!$E$68=C18,Begegnungen!$E$69=C18,Begegnungen!$E$70=C18,Begegnungen!$E$71=C18,Begegnungen!$E$72=C18,Begegnungen!$E$73=C18,Begegnungen!$E$74=C18),Begegnungen!$E$81,""))</f>
        <v/>
      </c>
      <c r="M18" s="66" t="str">
        <f>IF(OR(Begegnungen!$I$68=C18,Begegnungen!$I$69=C18,Begegnungen!$I$70=C18,Begegnungen!$I$71=C18,Begegnungen!$I$72=C18,Begegnungen!$I$73=C18,Begegnungen!$I$74=C18),Begegnungen!$I$81,IF(OR(Begegnungen!$K$68=C18,Begegnungen!$K$69=C18,Begegnungen!$K$70=C18,Begegnungen!$K$71=C18,Begegnungen!$K$72=C18,Begegnungen!$K$73=C18,Begegnungen!$K$74=C18),Begegnungen!$K$81,""))</f>
        <v/>
      </c>
      <c r="N18" s="66" t="str">
        <f>IF(OR(Begegnungen!$C$84=C18,Begegnungen!$C$85=C18,Begegnungen!$C$86=C18,Begegnungen!$C$87=C18,Begegnungen!$C$88=C18,Begegnungen!$C$89=C18,Begegnungen!$C$90=C18),Begegnungen!$C$98,IF(OR(Begegnungen!$E$84=C18,Begegnungen!$E$85=C18,Begegnungen!$E$86=C18,Begegnungen!$E$87=C18,Begegnungen!$E$88=C18,Begegnungen!$E$89=C18,Begegnungen!$E$90=C18),Begegnungen!$E$98,""))</f>
        <v/>
      </c>
      <c r="O18" s="66" t="str">
        <f>IF(OR(Begegnungen!$I$84=C18,Begegnungen!$I$85=C18,Begegnungen!$I$86=C18,Begegnungen!$I$87=C18,Begegnungen!$I$88=C18,Begegnungen!$I$89=C18,Begegnungen!$I$90=C18),Begegnungen!$I$98,IF(OR(Begegnungen!$K$84=C18,Begegnungen!$K$85=C18,Begegnungen!$K$86=C18,Begegnungen!$K$87=C18,Begegnungen!$K$88=C18,Begegnungen!$K$89=C18,Begegnungen!$K$90=C18),Begegnungen!$K$98,""))</f>
        <v/>
      </c>
      <c r="P18" s="66" t="str">
        <f>IF(OR(Begegnungen!$C$101=C18,Begegnungen!$C$102=C18,Begegnungen!$C$103=C18,Begegnungen!$C$104=C18,Begegnungen!$C$105=C18,Begegnungen!$C$106=C18,Begegnungen!$C$107=C18),Begegnungen!$C$114,IF(OR(Begegnungen!$E$101=C18,Begegnungen!$E$102=C18,Begegnungen!$E$103=C18,Begegnungen!$E$104=C18,Begegnungen!$E$105=C18,Begegnungen!$E$106=C18,Begegnungen!$E$107=C18),Begegnungen!$E$114,""))</f>
        <v/>
      </c>
      <c r="Q18" s="66" t="str">
        <f>IF(OR(Begegnungen!$I$101=C18,Begegnungen!$I$102=C18,Begegnungen!$I$103=C18,Begegnungen!$I$104=C18,Begegnungen!$I$105=C18,Begegnungen!$I$106=C18,Begegnungen!$I$107=C18),Begegnungen!$I$114,IF(OR(Begegnungen!$K$101=C18,Begegnungen!$K$102=C18,Begegnungen!$K$103=C18,Begegnungen!$K$104=C18,Begegnungen!$K$105=C18,Begegnungen!$K$106=C18,Begegnungen!$K$107=C18),Begegnungen!$K$114,""))</f>
        <v/>
      </c>
      <c r="R18" s="136" t="str">
        <f>IF(OR(Begegnungen!$C$117=C18,Begegnungen!$C$118=C18,Begegnungen!$C$119=C18,Begegnungen!$C$120=C18,Begegnungen!$C$121=C18,Begegnungen!$C$122=C18,Begegnungen!$C$123=C18),Begegnungen!$C$130,IF(OR(Begegnungen!$E$117=C18,Begegnungen!$E$118=C18,Begegnungen!$E$119=C18,Begegnungen!$E$120=C18,Begegnungen!$E$121=C18,Begegnungen!$E$122=C18,Begegnungen!$E$123=C18),Begegnungen!$E$130,""))</f>
        <v/>
      </c>
      <c r="S18" s="66" t="str">
        <f>IF(OR(Begegnungen!$I$117=C18,Begegnungen!$I$118=C18,Begegnungen!$I$119=C18,Begegnungen!$I$120=C18,Begegnungen!$I$121=C18,Begegnungen!$I$122=C18,Begegnungen!$I$123=C18),Begegnungen!$I$130,IF(OR(Begegnungen!$K$117=C18,Begegnungen!$K$118=C18,Begegnungen!$K$119=C18,Begegnungen!$K$120=C18,Begegnungen!$K$121=C18,Begegnungen!$K$122=C18,Begegnungen!$K$123=C18),Begegnungen!$K$130,""))</f>
        <v/>
      </c>
      <c r="T18" s="66" t="str">
        <f>IF(OR(Begegnungen!$C$133=C18,Begegnungen!$C$134=C18,Begegnungen!$C$135=C18,Begegnungen!$C$136=C18,Begegnungen!$C$137=C18,Begegnungen!$C$138=C18,Begegnungen!$C$139=C18),Begegnungen!$C$146,IF(OR(Begegnungen!$E$133=C18,Begegnungen!$E$134=C18,Begegnungen!$E$135=C18,Begegnungen!$E$136=C18,Begegnungen!$E$137=C18,Begegnungen!$E$138=C18,Begegnungen!$E$139=C18),Begegnungen!$E$146,""))</f>
        <v/>
      </c>
      <c r="U18" s="66" t="str">
        <f>IF(OR(Begegnungen!$I$133=C18,Begegnungen!$I$134=C18,Begegnungen!$I$135=C18,Begegnungen!$I$136=C18,Begegnungen!$I$137=C18,Begegnungen!$I$138=C18,Begegnungen!$I$139=C18),Begegnungen!$I$146,IF(OR(Begegnungen!$K$133=C18,Begegnungen!$K$134=C18,Begegnungen!$K$135=C18,Begegnungen!$K$136=C18,Begegnungen!$K$137=C18,Begegnungen!$K$138=C18,Begegnungen!$K$139=C18),Begegnungen!$K$146,""))</f>
        <v/>
      </c>
      <c r="V18" s="66" t="str">
        <f>IF(OR(Begegnungen!$C$149=C18,Begegnungen!$C$150=C18,Begegnungen!$C$151=C18,Begegnungen!$C$152=C18,Begegnungen!$C$153=C18,Begegnungen!$C$154=C18,Begegnungen!$C$155=C18),Begegnungen!$C$162,IF(OR(Begegnungen!$E$149=C18,Begegnungen!$E$150=C18,Begegnungen!$E$151=C18,Begegnungen!$E$152=C18,Begegnungen!$E$153=C18,Begegnungen!$E$154=C18,Begegnungen!$E$155=C18),Begegnungen!$E$162,""))</f>
        <v/>
      </c>
      <c r="W18" s="66" t="str">
        <f>IF(OR(Begegnungen!$I$149=C18,Begegnungen!$I$150=C18,Begegnungen!$I$151=C18,Begegnungen!$I$152=C18,Begegnungen!$I$153=C18,Begegnungen!$I$154=C18,Begegnungen!$I$155=C18),Begegnungen!$I$162,IF(OR(Begegnungen!$K$149=C18,Begegnungen!$K$150=C18,Begegnungen!$K$151=C18,Begegnungen!$K$152=C18,Begegnungen!$K$153=C18,Begegnungen!$K$154=C18,Begegnungen!$K$155=C18),Begegnungen!$K$162,""))</f>
        <v/>
      </c>
      <c r="X18" s="66" t="str">
        <f>IF(OR(Begegnungen!$C$165=C18,Begegnungen!$C$166=C18,Begegnungen!$C$167=C18,Begegnungen!$C$168=C18,Begegnungen!$C$169=C18,Begegnungen!$C$170=C18,Begegnungen!$C$171=C18),Begegnungen!$C$178,IF(OR(Begegnungen!$E$165=C18,Begegnungen!$E$166=C18,Begegnungen!$E$167=C18,Begegnungen!$E$168=C18,Begegnungen!$E$169=C18,Begegnungen!$E$170=C18,Begegnungen!$E$171=C18),Begegnungen!$E$178,""))</f>
        <v/>
      </c>
      <c r="Y18" s="66" t="str">
        <f>IF(OR(Begegnungen!$I$165=C18,Begegnungen!$I$166=C18,Begegnungen!$I$167=C18,Begegnungen!$I$168=C18,Begegnungen!$I$169=C18,Begegnungen!$I$170=C18,Begegnungen!$I$171=C18),Begegnungen!$I$178,IF(OR(Begegnungen!$K$165=C18,Begegnungen!$K$166=C18,Begegnungen!$K$167=C18,Begegnungen!$K$168=C18,Begegnungen!$K$169=C18,Begegnungen!$K$170=C18,Begegnungen!$K$171=C18),Begegnungen!$K$178,""))</f>
        <v/>
      </c>
      <c r="Z18" s="66" t="str">
        <f>IF(OR(Begegnungen!$C$181=C18,Begegnungen!$C$182=C18,Begegnungen!$C$183=C18,Begegnungen!$C$184=C18,Begegnungen!$C$185=C18,Begegnungen!$C$186=C18,Begegnungen!$C$187=C18),Begegnungen!$C$194,IF(OR(Begegnungen!$E$181=C18,Begegnungen!$E$182=C18,Begegnungen!$E$183=C18,Begegnungen!$E$184=C18,Begegnungen!$E$185=C18,Begegnungen!$E$186=C18,Begegnungen!$E$187=C18),Begegnungen!$E$194,""))</f>
        <v/>
      </c>
      <c r="AA18" s="66" t="str">
        <f>IF(OR(Begegnungen!$I$181=C18,Begegnungen!$I$182=C18,Begegnungen!$I$183=C18,Begegnungen!$I$184=C18,Begegnungen!$I$185=C18,Begegnungen!$I$186=C18,Begegnungen!$I$187=C18),Begegnungen!$I$194,IF(OR(Begegnungen!$K$181=C18,Begegnungen!$K$182=C18,Begegnungen!$K$183=C18,Begegnungen!$K$184=C18,Begegnungen!$K$185=C18,Begegnungen!$K$186=C18,Begegnungen!$K$187=C18),Begegnungen!$K$194,""))</f>
        <v/>
      </c>
      <c r="AB18" s="66" t="str">
        <f>IF(OR(Begegnungen!$C$197=C18,Begegnungen!$C$198=C18,Begegnungen!$C$199=C18,Begegnungen!$C$200=C18,Begegnungen!$C$201=C18,Begegnungen!$C$202=C18,Begegnungen!$C$203=C18),Begegnungen!$C$210,IF(OR(Begegnungen!$E$197=C18,Begegnungen!$E$198=C18,Begegnungen!$E$199=C18,Begegnungen!$E$200=C18,Begegnungen!$E$201=C18,Begegnungen!$E$202=C18,Begegnungen!$E$203=C18),Begegnungen!$E$210,""))</f>
        <v/>
      </c>
      <c r="AC18" s="66" t="str">
        <f>IF(OR(Begegnungen!$I$197=C18,Begegnungen!$I$198=C18,Begegnungen!$I$199=C18,Begegnungen!$I$200=C18,Begegnungen!$I$201=C18,Begegnungen!$I$202=C18,Begegnungen!$I$203=C18),Begegnungen!$I$210,IF(OR(Begegnungen!$K$197=C18,Begegnungen!$K$198=C18,Begegnungen!$K$199=C18,Begegnungen!$K$200=C18,Begegnungen!$K$201=C18,Begegnungen!$K$202=C18,Begegnungen!$K$203=C18),Begegnungen!$K$210,""))</f>
        <v/>
      </c>
      <c r="AD18" s="66" t="str">
        <f>IF(OR(Begegnungen!$C$213=C18,Begegnungen!$C$214=C18,Begegnungen!$C$215=C18,Begegnungen!$C$216=C18,Begegnungen!$C$217=C18,Begegnungen!$C$218=C18,Begegnungen!$C$219=C18),Begegnungen!$C$226,IF(OR(Begegnungen!$E$213=C18,Begegnungen!$E$214=C18,Begegnungen!$E$215=C18,Begegnungen!$E$216=C18,Begegnungen!$E$217=C18,Begegnungen!$E$218=C18,Begegnungen!$E$219=C18),Begegnungen!$E$226,""))</f>
        <v/>
      </c>
      <c r="AE18" s="66" t="str">
        <f>IF(OR(Begegnungen!$I$213=C18,Begegnungen!$I$214=C18,Begegnungen!$I$215=C18,Begegnungen!$I$216=C18,Begegnungen!$I$217=C18,Begegnungen!$I$218=C18,Begegnungen!$I$219=C18),Begegnungen!$I$226,IF(OR(Begegnungen!$K$213=C18,Begegnungen!$K$214=C18,Begegnungen!$K$215=C18,Begegnungen!$K$216=C18,Begegnungen!$K$217=C18,Begegnungen!$K$218=C18,Begegnungen!$K$219=C18),Begegnungen!$K$226,""))</f>
        <v/>
      </c>
      <c r="AF18" s="136" t="str">
        <f>IF(OR(Begegnungen!$C$229=C18,Begegnungen!$C$230=C18,Begegnungen!$C$231=C18,Begegnungen!$C$232=C18,Begegnungen!$C$233=C18,Begegnungen!$C$234=C18,Begegnungen!$C$235=C18),Begegnungen!$C$242,IF(OR(Begegnungen!$E$229=C18,Begegnungen!$E$230=C18,Begegnungen!$E$231=C18,Begegnungen!$E$232=C18,Begegnungen!$E$233=C18,Begegnungen!$E$234=C18,Begegnungen!$E$235=C18),Begegnungen!$E$242,""))</f>
        <v/>
      </c>
      <c r="AG18" s="66" t="str">
        <f>IF(OR(Begegnungen!$I$229=C18,Begegnungen!$I$230=C18,Begegnungen!$I$231=C18,Begegnungen!$I$232=C18,Begegnungen!$I$233=C18,Begegnungen!$I$234=C18,Begegnungen!$I$235=C18),Begegnungen!$I$242,IF(OR(Begegnungen!$K$229=C18,Begegnungen!$K$230=C18,Begegnungen!$K$231=C18,Begegnungen!$K$232=C18,Begegnungen!$K$233=C18,Begegnungen!$K$234=C18,Begegnungen!$K$235=C18),Begegnungen!$K$242,""))</f>
        <v/>
      </c>
      <c r="AH18" s="66" t="str">
        <f>IF(OR(Begegnungen!$C$245=C18,Begegnungen!$C$246=C18,Begegnungen!$C$247=C18,Begegnungen!$C$248=C18,Begegnungen!$C$249=C18,Begegnungen!$C$250=C18,Begegnungen!$C$251=C18),Begegnungen!$C$258,IF(OR(Begegnungen!$E$245=C18,Begegnungen!$E$246=C18,Begegnungen!$E$247=C18,Begegnungen!$E$248=C18,Begegnungen!$E$249=C18,Begegnungen!$E$250=C18,Begegnungen!$E$251=C18),Begegnungen!$E$258,""))</f>
        <v/>
      </c>
      <c r="AI18" s="66" t="str">
        <f>IF(OR(Begegnungen!$I$245=C18,Begegnungen!$I$246=C18,Begegnungen!$I$247=C18,Begegnungen!$I$248=C18,Begegnungen!$I$249=C18,Begegnungen!$I$250=C18,Begegnungen!$I$251=C18),Begegnungen!$I$258,IF(OR(Begegnungen!$K$245=C18,Begegnungen!$K$246=C18,Begegnungen!$K$247=C18,Begegnungen!$K$248=C18,Begegnungen!$K$249=C18,Begegnungen!$K$250=C18,Begegnungen!$K$251=C18),Begegnungen!$K$258,""))</f>
        <v/>
      </c>
      <c r="AJ18" s="66" t="str">
        <f>IF(OR(Begegnungen!$C$261=C18,Begegnungen!$C$262=C18,Begegnungen!$C$263=C18,Begegnungen!$C$264=C18,Begegnungen!$C$265=C18,Begegnungen!$C$266=C18,Begegnungen!$C$267=C18),Begegnungen!$C$274,IF(OR(Begegnungen!$E$261=C18,Begegnungen!$E$262=C18,Begegnungen!$E$263=C18,Begegnungen!$E$264=C18,Begegnungen!$E$265=C18,Begegnungen!$E$266=C18,Begegnungen!$E$267=C18),Begegnungen!$E$274,""))</f>
        <v/>
      </c>
      <c r="AK18" s="66" t="str">
        <f>IF(OR(Begegnungen!$I$261=C18,Begegnungen!$I$262=C18,Begegnungen!$I$263=C18,Begegnungen!$I$264=C18,Begegnungen!$I$265=C18,Begegnungen!$I$266=C18,Begegnungen!$I$267=C18),Begegnungen!$I$274,IF(OR(Begegnungen!$K$261=C18,Begegnungen!$K$262=C18,Begegnungen!$K$263=C18,Begegnungen!$K$264=C18,Begegnungen!$K$265=C18,Begegnungen!$K$266=C18,Begegnungen!$K$267=C18),Begegnungen!$K$274,""))</f>
        <v/>
      </c>
      <c r="AL18" s="66" t="str">
        <f>IF(OR(Begegnungen!$C$277=C18,Begegnungen!$C$278=C18,Begegnungen!$C$279=C18,Begegnungen!$C$280=C18,Begegnungen!$C$281=C18,Begegnungen!$C$282=C18,Begegnungen!$C$283=C18),Begegnungen!$C$290,IF(OR(Begegnungen!$E$277=C18,Begegnungen!$E$278=C18,Begegnungen!$E$279=C18,Begegnungen!$E$280=C18,Begegnungen!$E$281=C18,Begegnungen!$E$282=C18,Begegnungen!$E$283=C18),Begegnungen!$E$290,""))</f>
        <v/>
      </c>
      <c r="AM18" s="136" t="str">
        <f>IF(OR(Begegnungen!$I$277=C18,Begegnungen!$I$278=C18,Begegnungen!$I$279=C18,Begegnungen!$I$280=C18,Begegnungen!$I$281=C18,Begegnungen!$I$282=C18,Begegnungen!$I$283=C18),Begegnungen!$I$290,IF(OR(Begegnungen!$K$277=C18,Begegnungen!$K$278=C18,Begegnungen!$K$279=C18,Begegnungen!$K$280=C18,Begegnungen!$K$281=C18,Begegnungen!$K$282=C18,Begegnungen!$K$283=C18),Begegnungen!$K$290,""))</f>
        <v/>
      </c>
      <c r="AN18" s="66" t="str">
        <f>IF(OR(Begegnungen!$C$293=C18,Begegnungen!$C$294=C18,Begegnungen!$C$295=C18,Begegnungen!$C$296=C18,Begegnungen!$C$297=C18,Begegnungen!$C$298=C18,Begegnungen!$C$299=C18),Begegnungen!$C$306,IF(OR(Begegnungen!$E$293=C18,Begegnungen!$E$294=C18,Begegnungen!$E$295=C18,Begegnungen!$E$296=C18,Begegnungen!$E$297=C18,Begegnungen!$E$298=C18,Begegnungen!$E$299=C18),Begegnungen!$E$306,""))</f>
        <v/>
      </c>
      <c r="AO18" s="136" t="str">
        <f>IF(OR(Begegnungen!$I$293=C18,Begegnungen!$I$294=C18,Begegnungen!$I$295=C18,Begegnungen!$I$296=C18,Begegnungen!$I$297=C18,Begegnungen!$I$298=C18,Begegnungen!$I$299=C18),Begegnungen!$I$306,IF(OR(Begegnungen!$K$293=C18,Begegnungen!$K$294=C18,Begegnungen!$K$295=C18,Begegnungen!$K$296=C18,Begegnungen!$K$297=C18,Begegnungen!$K$298=C18,Begegnungen!$K$299=C18),Begegnungen!$K$306,""))</f>
        <v/>
      </c>
      <c r="AP18" s="136" t="str">
        <f>IF(OR(Begegnungen!$C$309=C18,Begegnungen!$C$310=C18,Begegnungen!$C$311=C18,Begegnungen!$C$312=C18,Begegnungen!$C$313=C18,Begegnungen!$C$314=C18,Begegnungen!$C$315=C18),Begegnungen!$C$322,IF(OR(Begegnungen!$E$309=C18,Begegnungen!$E$310=C18,Begegnungen!$E$311=C18,Begegnungen!$E$312=C18,Begegnungen!$E$313=C18,Begegnungen!$E$314=C18,Begegnungen!$E$315=C18),Begegnungen!$E$322,""))</f>
        <v/>
      </c>
      <c r="AQ18" s="66" t="str">
        <f>IF(OR(Begegnungen!$I$309=C18,Begegnungen!$I$310=C18,Begegnungen!$I$311=C18,Begegnungen!$I$312=C18,Begegnungen!$I$313=C18,Begegnungen!$I$314=C18,Begegnungen!$I$315=C18),Begegnungen!$I$322,IF(OR(Begegnungen!$K$309=C18,Begegnungen!$K$310=C18,Begegnungen!$K$311=C18,Begegnungen!$K$312=C18,Begegnungen!$K$313=C18,Begegnungen!$K$314=C18,Begegnungen!$K$315=C18),Begegnungen!$K$322,""))</f>
        <v/>
      </c>
      <c r="AR18" s="18">
        <f t="shared" si="2"/>
        <v>0</v>
      </c>
      <c r="AS18" s="19">
        <f t="shared" si="0"/>
        <v>0</v>
      </c>
      <c r="AT18" s="20">
        <f t="shared" si="1"/>
        <v>0</v>
      </c>
      <c r="AU18" s="21" t="e">
        <f t="shared" si="3"/>
        <v>#DIV/0!</v>
      </c>
      <c r="AW18" s="70">
        <f t="shared" si="4"/>
        <v>0</v>
      </c>
      <c r="AX18" s="30">
        <f t="shared" si="5"/>
        <v>0</v>
      </c>
      <c r="AY18" s="71">
        <f t="shared" si="6"/>
        <v>0</v>
      </c>
    </row>
    <row r="19" spans="2:51" x14ac:dyDescent="0.25">
      <c r="B19" s="3">
        <v>14</v>
      </c>
      <c r="C19" s="65" t="s">
        <v>27</v>
      </c>
      <c r="D19" s="66" t="str">
        <f>IF(OR(Begegnungen!$C$3=C19,Begegnungen!$C$4=C19,Begegnungen!$C$5=C19,Begegnungen!$C$6=C19,Begegnungen!$C$7=C19,Begegnungen!$C$8=C19,Begegnungen!$C$9=C19),Begegnungen!$C$16,IF(OR(Begegnungen!$E$3=C19,Begegnungen!$E$4=C19,Begegnungen!$E$5=C19,Begegnungen!$E$6=C19,Begegnungen!$E$7=C19,Begegnungen!$E$8=C19,Begegnungen!$E$9=C19),Begegnungen!$E$16,""))</f>
        <v/>
      </c>
      <c r="E19" s="66" t="str">
        <f>IF(OR(Begegnungen!$I$3=C19,Begegnungen!$I$4=C19,Begegnungen!$I$5=C19,Begegnungen!$I$6=C19,Begegnungen!$I$7=C19,Begegnungen!$I$8=C19,Begegnungen!$I$9=C19),Begegnungen!$I$16,IF(OR(Begegnungen!$K$3=C19,Begegnungen!$K$4=C19,Begegnungen!$K$5=C19,Begegnungen!$K$6=C19,Begegnungen!$K$7=C19,Begegnungen!$K$8=C19,Begegnungen!$K$9=C19),Begegnungen!$K$16,""))</f>
        <v>3</v>
      </c>
      <c r="F19" s="66" t="str">
        <f>IF(OR(Begegnungen!$C$19=C19,Begegnungen!$C$20=C19,Begegnungen!$C$21=C19,Begegnungen!$C$22=C19,Begegnungen!$C$23=C19,Begegnungen!$C$24=C19,Begegnungen!$C$25=C19),Begegnungen!$C$32,IF(OR(Begegnungen!$E$19=C19,Begegnungen!$E$20=C19,Begegnungen!$E$21=C19,Begegnungen!$E$22=C19,Begegnungen!$E$23=C19,Begegnungen!$E$24=C19,Begegnungen!$E$25=C19),Begegnungen!$E$32,""))</f>
        <v/>
      </c>
      <c r="G19" s="66" t="str">
        <f>IF(OR(Begegnungen!$I$19=C19,Begegnungen!$I$20=C19,Begegnungen!$I$21=C19,Begegnungen!$I$22=C19,Begegnungen!$I$23=C19,Begegnungen!$I$24=C19,Begegnungen!$I$25=C19),Begegnungen!$I$32,IF(OR(Begegnungen!$K$19=C19,Begegnungen!$K$20=C19,Begegnungen!$K$21=C19,Begegnungen!$K$22=C19,Begegnungen!$K$23=C19,Begegnungen!$K$24=C19,Begegnungen!$K$25=C19),Begegnungen!$K$32,""))</f>
        <v/>
      </c>
      <c r="H19" s="66" t="str">
        <f>IF(OR(Begegnungen!$C$35=C19,Begegnungen!$C$36=C19,Begegnungen!$C$37=C19,Begegnungen!$C$38=C19,Begegnungen!$C$39=C19,Begegnungen!$C$40=C19,Begegnungen!$C$41=C19),Begegnungen!$C$49,IF(OR(Begegnungen!$E$35=C19,Begegnungen!$E$36=C19,Begegnungen!$E$37=C19,Begegnungen!$E$38=C19,Begegnungen!$E$39=C19,Begegnungen!$E$40=C19,Begegnungen!$E$41=C19),Begegnungen!$E$49,""))</f>
        <v>0</v>
      </c>
      <c r="I19" s="66" t="str">
        <f>IF(OR(Begegnungen!$I$35=C19,Begegnungen!$I$36=C19,Begegnungen!$I$37=C19,Begegnungen!$I$38=C19,Begegnungen!$I$39=C19,Begegnungen!$I$40=C19,Begegnungen!$I$41=C19),Begegnungen!$I$49,IF(OR(Begegnungen!$K$35=C19,Begegnungen!$K$36=C19,Begegnungen!$K$37=C19,Begegnungen!$K$38=C19,Begegnungen!$K$39=C19,Begegnungen!$K$40=C19,Begegnungen!$K$41=C19),Begegnungen!$K$49,""))</f>
        <v>1</v>
      </c>
      <c r="J19" s="66" t="str">
        <f>IF(OR(Begegnungen!$C$52=C19,Begegnungen!$C$53=C19,Begegnungen!$C$54=C19,Begegnungen!$C$55=C19,Begegnungen!$C$56=C19,Begegnungen!$C$57=C19,Begegnungen!$C$58=C19),Begegnungen!$C$65,IF(OR(Begegnungen!$E$52=C19,Begegnungen!$E$53=C19,Begegnungen!$E$54=C19,Begegnungen!$E$55=C19,Begegnungen!$E$56=C19,Begegnungen!$E$57=C19,Begegnungen!$E$58=C19),Begegnungen!$E$65,""))</f>
        <v>3</v>
      </c>
      <c r="K19" s="66" t="str">
        <f>IF(OR(Begegnungen!$I$52=C19,Begegnungen!$I$53=C19,Begegnungen!$I$54=C19,Begegnungen!$I$55=C19,Begegnungen!$I$56=C19,Begegnungen!$I$57=C19,Begegnungen!$I$58=C19),Begegnungen!$I$65,IF(OR(Begegnungen!$K$52=C19,Begegnungen!$K$53=C19,Begegnungen!$K$54=C19,Begegnungen!$K$55=C19,Begegnungen!$K$56=C19,Begegnungen!$K$57=C19,Begegnungen!$K$58=C19),Begegnungen!$K$65,""))</f>
        <v>0</v>
      </c>
      <c r="L19" s="136" t="str">
        <f>IF(OR(Begegnungen!$C$68=C19,Begegnungen!$C$69=C19,Begegnungen!$C$70=C19,Begegnungen!$C$71=C19,Begegnungen!$C$72=C19,Begegnungen!$C$73=C19,Begegnungen!$C$74=C19),Begegnungen!$C$81,IF(OR(Begegnungen!$E$68=C19,Begegnungen!$E$69=C19,Begegnungen!$E$70=C19,Begegnungen!$E$71=C19,Begegnungen!$E$72=C19,Begegnungen!$E$73=C19,Begegnungen!$E$74=C19),Begegnungen!$E$81,""))</f>
        <v/>
      </c>
      <c r="M19" s="66" t="str">
        <f>IF(OR(Begegnungen!$I$68=C19,Begegnungen!$I$69=C19,Begegnungen!$I$70=C19,Begegnungen!$I$71=C19,Begegnungen!$I$72=C19,Begegnungen!$I$73=C19,Begegnungen!$I$74=C19),Begegnungen!$I$81,IF(OR(Begegnungen!$K$68=C19,Begegnungen!$K$69=C19,Begegnungen!$K$70=C19,Begegnungen!$K$71=C19,Begegnungen!$K$72=C19,Begegnungen!$K$73=C19,Begegnungen!$K$74=C19),Begegnungen!$K$81,""))</f>
        <v>3</v>
      </c>
      <c r="N19" s="66" t="str">
        <f>IF(OR(Begegnungen!$C$84=C19,Begegnungen!$C$85=C19,Begegnungen!$C$86=C19,Begegnungen!$C$87=C19,Begegnungen!$C$88=C19,Begegnungen!$C$89=C19,Begegnungen!$C$90=C19),Begegnungen!$C$98,IF(OR(Begegnungen!$E$84=C19,Begegnungen!$E$85=C19,Begegnungen!$E$86=C19,Begegnungen!$E$87=C19,Begegnungen!$E$88=C19,Begegnungen!$E$89=C19,Begegnungen!$E$90=C19),Begegnungen!$E$98,""))</f>
        <v>0</v>
      </c>
      <c r="O19" s="66" t="str">
        <f>IF(OR(Begegnungen!$I$84=C19,Begegnungen!$I$85=C19,Begegnungen!$I$86=C19,Begegnungen!$I$87=C19,Begegnungen!$I$88=C19,Begegnungen!$I$89=C19,Begegnungen!$I$90=C19),Begegnungen!$I$98,IF(OR(Begegnungen!$K$84=C19,Begegnungen!$K$85=C19,Begegnungen!$K$86=C19,Begegnungen!$K$87=C19,Begegnungen!$K$88=C19,Begegnungen!$K$89=C19,Begegnungen!$K$90=C19),Begegnungen!$K$98,""))</f>
        <v/>
      </c>
      <c r="P19" s="66" t="str">
        <f>IF(OR(Begegnungen!$C$101=C19,Begegnungen!$C$102=C19,Begegnungen!$C$103=C19,Begegnungen!$C$104=C19,Begegnungen!$C$105=C19,Begegnungen!$C$106=C19,Begegnungen!$C$107=C19),Begegnungen!$C$114,IF(OR(Begegnungen!$E$101=C19,Begegnungen!$E$102=C19,Begegnungen!$E$103=C19,Begegnungen!$E$104=C19,Begegnungen!$E$105=C19,Begegnungen!$E$106=C19,Begegnungen!$E$107=C19),Begegnungen!$E$114,""))</f>
        <v>3</v>
      </c>
      <c r="Q19" s="66" t="str">
        <f>IF(OR(Begegnungen!$I$101=C19,Begegnungen!$I$102=C19,Begegnungen!$I$103=C19,Begegnungen!$I$104=C19,Begegnungen!$I$105=C19,Begegnungen!$I$106=C19,Begegnungen!$I$107=C19),Begegnungen!$I$114,IF(OR(Begegnungen!$K$101=C19,Begegnungen!$K$102=C19,Begegnungen!$K$103=C19,Begegnungen!$K$104=C19,Begegnungen!$K$105=C19,Begegnungen!$K$106=C19,Begegnungen!$K$107=C19),Begegnungen!$K$114,""))</f>
        <v/>
      </c>
      <c r="R19" s="136" t="str">
        <f>IF(OR(Begegnungen!$C$117=C19,Begegnungen!$C$118=C19,Begegnungen!$C$119=C19,Begegnungen!$C$120=C19,Begegnungen!$C$121=C19,Begegnungen!$C$122=C19,Begegnungen!$C$123=C19),Begegnungen!$C$130,IF(OR(Begegnungen!$E$117=C19,Begegnungen!$E$118=C19,Begegnungen!$E$119=C19,Begegnungen!$E$120=C19,Begegnungen!$E$121=C19,Begegnungen!$E$122=C19,Begegnungen!$E$123=C19),Begegnungen!$E$130,""))</f>
        <v/>
      </c>
      <c r="S19" s="66" t="str">
        <f>IF(OR(Begegnungen!$I$117=C19,Begegnungen!$I$118=C19,Begegnungen!$I$119=C19,Begegnungen!$I$120=C19,Begegnungen!$I$121=C19,Begegnungen!$I$122=C19,Begegnungen!$I$123=C19),Begegnungen!$I$130,IF(OR(Begegnungen!$K$117=C19,Begegnungen!$K$118=C19,Begegnungen!$K$119=C19,Begegnungen!$K$120=C19,Begegnungen!$K$121=C19,Begegnungen!$K$122=C19,Begegnungen!$K$123=C19),Begegnungen!$K$130,""))</f>
        <v>3</v>
      </c>
      <c r="T19" s="66" t="str">
        <f>IF(OR(Begegnungen!$C$133=C19,Begegnungen!$C$134=C19,Begegnungen!$C$135=C19,Begegnungen!$C$136=C19,Begegnungen!$C$137=C19,Begegnungen!$C$138=C19,Begegnungen!$C$139=C19),Begegnungen!$C$146,IF(OR(Begegnungen!$E$133=C19,Begegnungen!$E$134=C19,Begegnungen!$E$135=C19,Begegnungen!$E$136=C19,Begegnungen!$E$137=C19,Begegnungen!$E$138=C19,Begegnungen!$E$139=C19),Begegnungen!$E$146,""))</f>
        <v/>
      </c>
      <c r="U19" s="66" t="str">
        <f>IF(OR(Begegnungen!$I$133=C19,Begegnungen!$I$134=C19,Begegnungen!$I$135=C19,Begegnungen!$I$136=C19,Begegnungen!$I$137=C19,Begegnungen!$I$138=C19,Begegnungen!$I$139=C19),Begegnungen!$I$146,IF(OR(Begegnungen!$K$133=C19,Begegnungen!$K$134=C19,Begegnungen!$K$135=C19,Begegnungen!$K$136=C19,Begegnungen!$K$137=C19,Begegnungen!$K$138=C19,Begegnungen!$K$139=C19),Begegnungen!$K$146,""))</f>
        <v>0</v>
      </c>
      <c r="V19" s="66" t="str">
        <f>IF(OR(Begegnungen!$C$149=C19,Begegnungen!$C$150=C19,Begegnungen!$C$151=C19,Begegnungen!$C$152=C19,Begegnungen!$C$153=C19,Begegnungen!$C$154=C19,Begegnungen!$C$155=C19),Begegnungen!$C$162,IF(OR(Begegnungen!$E$149=C19,Begegnungen!$E$150=C19,Begegnungen!$E$151=C19,Begegnungen!$E$152=C19,Begegnungen!$E$153=C19,Begegnungen!$E$154=C19,Begegnungen!$E$155=C19),Begegnungen!$E$162,""))</f>
        <v>0</v>
      </c>
      <c r="W19" s="66" t="str">
        <f>IF(OR(Begegnungen!$I$149=C19,Begegnungen!$I$150=C19,Begegnungen!$I$151=C19,Begegnungen!$I$152=C19,Begegnungen!$I$153=C19,Begegnungen!$I$154=C19,Begegnungen!$I$155=C19),Begegnungen!$I$162,IF(OR(Begegnungen!$K$149=C19,Begegnungen!$K$150=C19,Begegnungen!$K$151=C19,Begegnungen!$K$152=C19,Begegnungen!$K$153=C19,Begegnungen!$K$154=C19,Begegnungen!$K$155=C19),Begegnungen!$K$162,""))</f>
        <v/>
      </c>
      <c r="X19" s="66" t="str">
        <f>IF(OR(Begegnungen!$C$165=C19,Begegnungen!$C$166=C19,Begegnungen!$C$167=C19,Begegnungen!$C$168=C19,Begegnungen!$C$169=C19,Begegnungen!$C$170=C19,Begegnungen!$C$171=C19),Begegnungen!$C$178,IF(OR(Begegnungen!$E$165=C19,Begegnungen!$E$166=C19,Begegnungen!$E$167=C19,Begegnungen!$E$168=C19,Begegnungen!$E$169=C19,Begegnungen!$E$170=C19,Begegnungen!$E$171=C19),Begegnungen!$E$178,""))</f>
        <v>3</v>
      </c>
      <c r="Y19" s="66" t="str">
        <f>IF(OR(Begegnungen!$I$165=C19,Begegnungen!$I$166=C19,Begegnungen!$I$167=C19,Begegnungen!$I$168=C19,Begegnungen!$I$169=C19,Begegnungen!$I$170=C19,Begegnungen!$I$171=C19),Begegnungen!$I$178,IF(OR(Begegnungen!$K$165=C19,Begegnungen!$K$166=C19,Begegnungen!$K$167=C19,Begegnungen!$K$168=C19,Begegnungen!$K$169=C19,Begegnungen!$K$170=C19,Begegnungen!$K$171=C19),Begegnungen!$K$178,""))</f>
        <v>0</v>
      </c>
      <c r="Z19" s="66" t="str">
        <f>IF(OR(Begegnungen!$C$181=C19,Begegnungen!$C$182=C19,Begegnungen!$C$183=C19,Begegnungen!$C$184=C19,Begegnungen!$C$185=C19,Begegnungen!$C$186=C19,Begegnungen!$C$187=C19),Begegnungen!$C$194,IF(OR(Begegnungen!$E$181=C19,Begegnungen!$E$182=C19,Begegnungen!$E$183=C19,Begegnungen!$E$184=C19,Begegnungen!$E$185=C19,Begegnungen!$E$186=C19,Begegnungen!$E$187=C19),Begegnungen!$E$194,""))</f>
        <v/>
      </c>
      <c r="AA19" s="66" t="str">
        <f>IF(OR(Begegnungen!$I$181=C19,Begegnungen!$I$182=C19,Begegnungen!$I$183=C19,Begegnungen!$I$184=C19,Begegnungen!$I$185=C19,Begegnungen!$I$186=C19,Begegnungen!$I$187=C19),Begegnungen!$I$194,IF(OR(Begegnungen!$K$181=C19,Begegnungen!$K$182=C19,Begegnungen!$K$183=C19,Begegnungen!$K$184=C19,Begegnungen!$K$185=C19,Begegnungen!$K$186=C19,Begegnungen!$K$187=C19),Begegnungen!$K$194,""))</f>
        <v>0</v>
      </c>
      <c r="AB19" s="66" t="str">
        <f>IF(OR(Begegnungen!$C$197=C19,Begegnungen!$C$198=C19,Begegnungen!$C$199=C19,Begegnungen!$C$200=C19,Begegnungen!$C$201=C19,Begegnungen!$C$202=C19,Begegnungen!$C$203=C19),Begegnungen!$C$210,IF(OR(Begegnungen!$E$197=C19,Begegnungen!$E$198=C19,Begegnungen!$E$199=C19,Begegnungen!$E$200=C19,Begegnungen!$E$201=C19,Begegnungen!$E$202=C19,Begegnungen!$E$203=C19),Begegnungen!$E$210,""))</f>
        <v/>
      </c>
      <c r="AC19" s="66" t="str">
        <f>IF(OR(Begegnungen!$I$197=C19,Begegnungen!$I$198=C19,Begegnungen!$I$199=C19,Begegnungen!$I$200=C19,Begegnungen!$I$201=C19,Begegnungen!$I$202=C19,Begegnungen!$I$203=C19),Begegnungen!$I$210,IF(OR(Begegnungen!$K$197=C19,Begegnungen!$K$198=C19,Begegnungen!$K$199=C19,Begegnungen!$K$200=C19,Begegnungen!$K$201=C19,Begegnungen!$K$202=C19,Begegnungen!$K$203=C19),Begegnungen!$K$210,""))</f>
        <v>3</v>
      </c>
      <c r="AD19" s="66" t="str">
        <f>IF(OR(Begegnungen!$C$213=C19,Begegnungen!$C$214=C19,Begegnungen!$C$215=C19,Begegnungen!$C$216=C19,Begegnungen!$C$217=C19,Begegnungen!$C$218=C19,Begegnungen!$C$219=C19),Begegnungen!$C$226,IF(OR(Begegnungen!$E$213=C19,Begegnungen!$E$214=C19,Begegnungen!$E$215=C19,Begegnungen!$E$216=C19,Begegnungen!$E$217=C19,Begegnungen!$E$218=C19,Begegnungen!$E$219=C19),Begegnungen!$E$226,""))</f>
        <v/>
      </c>
      <c r="AE19" s="66" t="str">
        <f>IF(OR(Begegnungen!$I$213=C19,Begegnungen!$I$214=C19,Begegnungen!$I$215=C19,Begegnungen!$I$216=C19,Begegnungen!$I$217=C19,Begegnungen!$I$218=C19,Begegnungen!$I$219=C19),Begegnungen!$I$226,IF(OR(Begegnungen!$K$213=C19,Begegnungen!$K$214=C19,Begegnungen!$K$215=C19,Begegnungen!$K$216=C19,Begegnungen!$K$217=C19,Begegnungen!$K$218=C19,Begegnungen!$K$219=C19),Begegnungen!$K$226,""))</f>
        <v>0</v>
      </c>
      <c r="AF19" s="136" t="str">
        <f>IF(OR(Begegnungen!$C$229=C19,Begegnungen!$C$230=C19,Begegnungen!$C$231=C19,Begegnungen!$C$232=C19,Begegnungen!$C$233=C19,Begegnungen!$C$234=C19,Begegnungen!$C$235=C19),Begegnungen!$C$242,IF(OR(Begegnungen!$E$229=C19,Begegnungen!$E$230=C19,Begegnungen!$E$231=C19,Begegnungen!$E$232=C19,Begegnungen!$E$233=C19,Begegnungen!$E$234=C19,Begegnungen!$E$235=C19),Begegnungen!$E$242,""))</f>
        <v>3</v>
      </c>
      <c r="AG19" s="66" t="str">
        <f>IF(OR(Begegnungen!$I$229=C19,Begegnungen!$I$230=C19,Begegnungen!$I$231=C19,Begegnungen!$I$232=C19,Begegnungen!$I$233=C19,Begegnungen!$I$234=C19,Begegnungen!$I$235=C19),Begegnungen!$I$242,IF(OR(Begegnungen!$K$229=C19,Begegnungen!$K$230=C19,Begegnungen!$K$231=C19,Begegnungen!$K$232=C19,Begegnungen!$K$233=C19,Begegnungen!$K$234=C19,Begegnungen!$K$235=C19),Begegnungen!$K$242,""))</f>
        <v>3</v>
      </c>
      <c r="AH19" s="66" t="str">
        <f>IF(OR(Begegnungen!$C$245=C19,Begegnungen!$C$246=C19,Begegnungen!$C$247=C19,Begegnungen!$C$248=C19,Begegnungen!$C$249=C19,Begegnungen!$C$250=C19,Begegnungen!$C$251=C19),Begegnungen!$C$258,IF(OR(Begegnungen!$E$245=C19,Begegnungen!$E$246=C19,Begegnungen!$E$247=C19,Begegnungen!$E$248=C19,Begegnungen!$E$249=C19,Begegnungen!$E$250=C19,Begegnungen!$E$251=C19),Begegnungen!$E$258,""))</f>
        <v/>
      </c>
      <c r="AI19" s="66" t="str">
        <f>IF(OR(Begegnungen!$I$245=C19,Begegnungen!$I$246=C19,Begegnungen!$I$247=C19,Begegnungen!$I$248=C19,Begegnungen!$I$249=C19,Begegnungen!$I$250=C19,Begegnungen!$I$251=C19),Begegnungen!$I$258,IF(OR(Begegnungen!$K$245=C19,Begegnungen!$K$246=C19,Begegnungen!$K$247=C19,Begegnungen!$K$248=C19,Begegnungen!$K$249=C19,Begegnungen!$K$250=C19,Begegnungen!$K$251=C19),Begegnungen!$K$258,""))</f>
        <v/>
      </c>
      <c r="AJ19" s="66" t="str">
        <f>IF(OR(Begegnungen!$C$261=C19,Begegnungen!$C$262=C19,Begegnungen!$C$263=C19,Begegnungen!$C$264=C19,Begegnungen!$C$265=C19,Begegnungen!$C$266=C19,Begegnungen!$C$267=C19),Begegnungen!$C$274,IF(OR(Begegnungen!$E$261=C19,Begegnungen!$E$262=C19,Begegnungen!$E$263=C19,Begegnungen!$E$264=C19,Begegnungen!$E$265=C19,Begegnungen!$E$266=C19,Begegnungen!$E$267=C19),Begegnungen!$E$274,""))</f>
        <v/>
      </c>
      <c r="AK19" s="66" t="str">
        <f>IF(OR(Begegnungen!$I$261=C19,Begegnungen!$I$262=C19,Begegnungen!$I$263=C19,Begegnungen!$I$264=C19,Begegnungen!$I$265=C19,Begegnungen!$I$266=C19,Begegnungen!$I$267=C19),Begegnungen!$I$274,IF(OR(Begegnungen!$K$261=C19,Begegnungen!$K$262=C19,Begegnungen!$K$263=C19,Begegnungen!$K$264=C19,Begegnungen!$K$265=C19,Begegnungen!$K$266=C19,Begegnungen!$K$267=C19),Begegnungen!$K$274,""))</f>
        <v>1</v>
      </c>
      <c r="AL19" s="66" t="str">
        <f>IF(OR(Begegnungen!$C$277=C19,Begegnungen!$C$278=C19,Begegnungen!$C$279=C19,Begegnungen!$C$280=C19,Begegnungen!$C$281=C19,Begegnungen!$C$282=C19,Begegnungen!$C$283=C19),Begegnungen!$C$290,IF(OR(Begegnungen!$E$277=C19,Begegnungen!$E$278=C19,Begegnungen!$E$279=C19,Begegnungen!$E$280=C19,Begegnungen!$E$281=C19,Begegnungen!$E$282=C19,Begegnungen!$E$283=C19),Begegnungen!$E$290,""))</f>
        <v/>
      </c>
      <c r="AM19" s="136" t="str">
        <f>IF(OR(Begegnungen!$I$277=C19,Begegnungen!$I$278=C19,Begegnungen!$I$279=C19,Begegnungen!$I$280=C19,Begegnungen!$I$281=C19,Begegnungen!$I$282=C19,Begegnungen!$I$283=C19),Begegnungen!$I$290,IF(OR(Begegnungen!$K$277=C19,Begegnungen!$K$278=C19,Begegnungen!$K$279=C19,Begegnungen!$K$280=C19,Begegnungen!$K$281=C19,Begegnungen!$K$282=C19,Begegnungen!$K$283=C19),Begegnungen!$K$290,""))</f>
        <v>0</v>
      </c>
      <c r="AN19" s="66" t="str">
        <f>IF(OR(Begegnungen!$C$293=C19,Begegnungen!$C$294=C19,Begegnungen!$C$295=C19,Begegnungen!$C$296=C19,Begegnungen!$C$297=C19,Begegnungen!$C$298=C19,Begegnungen!$C$299=C19),Begegnungen!$C$306,IF(OR(Begegnungen!$E$293=C19,Begegnungen!$E$294=C19,Begegnungen!$E$295=C19,Begegnungen!$E$296=C19,Begegnungen!$E$297=C19,Begegnungen!$E$298=C19,Begegnungen!$E$299=C19),Begegnungen!$E$306,""))</f>
        <v>0</v>
      </c>
      <c r="AO19" s="136" t="str">
        <f>IF(OR(Begegnungen!$I$293=C19,Begegnungen!$I$294=C19,Begegnungen!$I$295=C19,Begegnungen!$I$296=C19,Begegnungen!$I$297=C19,Begegnungen!$I$298=C19,Begegnungen!$I$299=C19),Begegnungen!$I$306,IF(OR(Begegnungen!$K$293=C19,Begegnungen!$K$294=C19,Begegnungen!$K$295=C19,Begegnungen!$K$296=C19,Begegnungen!$K$297=C19,Begegnungen!$K$298=C19,Begegnungen!$K$299=C19),Begegnungen!$K$306,""))</f>
        <v/>
      </c>
      <c r="AP19" s="136" t="str">
        <f>IF(OR(Begegnungen!$C$309=C19,Begegnungen!$C$310=C19,Begegnungen!$C$311=C19,Begegnungen!$C$312=C19,Begegnungen!$C$313=C19,Begegnungen!$C$314=C19,Begegnungen!$C$315=C19),Begegnungen!$C$322,IF(OR(Begegnungen!$E$309=C19,Begegnungen!$E$310=C19,Begegnungen!$E$311=C19,Begegnungen!$E$312=C19,Begegnungen!$E$313=C19,Begegnungen!$E$314=C19,Begegnungen!$E$315=C19),Begegnungen!$E$322,""))</f>
        <v>3</v>
      </c>
      <c r="AQ19" s="66" t="str">
        <f>IF(OR(Begegnungen!$I$309=C19,Begegnungen!$I$310=C19,Begegnungen!$I$311=C19,Begegnungen!$I$312=C19,Begegnungen!$I$313=C19,Begegnungen!$I$314=C19,Begegnungen!$I$315=C19),Begegnungen!$I$322,IF(OR(Begegnungen!$K$309=C19,Begegnungen!$K$310=C19,Begegnungen!$K$311=C19,Begegnungen!$K$312=C19,Begegnungen!$K$313=C19,Begegnungen!$K$314=C19,Begegnungen!$K$315=C19),Begegnungen!$K$322,""))</f>
        <v/>
      </c>
      <c r="AR19" s="18">
        <f t="shared" si="2"/>
        <v>32</v>
      </c>
      <c r="AS19" s="19">
        <f t="shared" si="0"/>
        <v>22</v>
      </c>
      <c r="AT19" s="22">
        <f t="shared" si="1"/>
        <v>1.1000000000000001</v>
      </c>
      <c r="AU19" s="23">
        <f t="shared" si="3"/>
        <v>2.5545454545454547</v>
      </c>
      <c r="AW19" s="70">
        <f t="shared" si="4"/>
        <v>10</v>
      </c>
      <c r="AX19" s="30">
        <f t="shared" si="5"/>
        <v>2</v>
      </c>
      <c r="AY19" s="71">
        <f t="shared" si="6"/>
        <v>10</v>
      </c>
    </row>
    <row r="20" spans="2:51" x14ac:dyDescent="0.25">
      <c r="B20" s="3">
        <v>15</v>
      </c>
      <c r="C20" s="65" t="s">
        <v>24</v>
      </c>
      <c r="D20" s="66" t="str">
        <f>IF(OR(Begegnungen!$C$3=C20,Begegnungen!$C$4=C20,Begegnungen!$C$5=C20,Begegnungen!$C$6=C20,Begegnungen!$C$7=C20,Begegnungen!$C$8=C20,Begegnungen!$C$9=C20),Begegnungen!$C$16,IF(OR(Begegnungen!$E$3=C20,Begegnungen!$E$4=C20,Begegnungen!$E$5=C20,Begegnungen!$E$6=C20,Begegnungen!$E$7=C20,Begegnungen!$E$8=C20,Begegnungen!$E$9=C20),Begegnungen!$E$16,""))</f>
        <v/>
      </c>
      <c r="E20" s="66" t="str">
        <f>IF(OR(Begegnungen!$I$3=C20,Begegnungen!$I$4=C20,Begegnungen!$I$5=C20,Begegnungen!$I$6=C20,Begegnungen!$I$7=C20,Begegnungen!$I$8=C20,Begegnungen!$I$9=C20),Begegnungen!$I$16,IF(OR(Begegnungen!$K$3=C20,Begegnungen!$K$4=C20,Begegnungen!$K$5=C20,Begegnungen!$K$6=C20,Begegnungen!$K$7=C20,Begegnungen!$K$8=C20,Begegnungen!$K$9=C20),Begegnungen!$K$16,""))</f>
        <v/>
      </c>
      <c r="F20" s="66" t="str">
        <f>IF(OR(Begegnungen!$C$19=C20,Begegnungen!$C$20=C20,Begegnungen!$C$21=C20,Begegnungen!$C$22=C20,Begegnungen!$C$23=C20,Begegnungen!$C$24=C20,Begegnungen!$C$25=C20),Begegnungen!$C$32,IF(OR(Begegnungen!$E$19=C20,Begegnungen!$E$20=C20,Begegnungen!$E$21=C20,Begegnungen!$E$22=C20,Begegnungen!$E$23=C20,Begegnungen!$E$24=C20,Begegnungen!$E$25=C20),Begegnungen!$E$32,""))</f>
        <v/>
      </c>
      <c r="G20" s="66" t="str">
        <f>IF(OR(Begegnungen!$I$19=C20,Begegnungen!$I$20=C20,Begegnungen!$I$21=C20,Begegnungen!$I$22=C20,Begegnungen!$I$23=C20,Begegnungen!$I$24=C20,Begegnungen!$I$25=C20),Begegnungen!$I$32,IF(OR(Begegnungen!$K$19=C20,Begegnungen!$K$20=C20,Begegnungen!$K$21=C20,Begegnungen!$K$22=C20,Begegnungen!$K$23=C20,Begegnungen!$K$24=C20,Begegnungen!$K$25=C20),Begegnungen!$K$32,""))</f>
        <v/>
      </c>
      <c r="H20" s="66" t="str">
        <f>IF(OR(Begegnungen!$C$35=C20,Begegnungen!$C$36=C20,Begegnungen!$C$37=C20,Begegnungen!$C$38=C20,Begegnungen!$C$39=C20,Begegnungen!$C$40=C20,Begegnungen!$C$41=C20),Begegnungen!$C$49,IF(OR(Begegnungen!$E$35=C20,Begegnungen!$E$36=C20,Begegnungen!$E$37=C20,Begegnungen!$E$38=C20,Begegnungen!$E$39=C20,Begegnungen!$E$40=C20,Begegnungen!$E$41=C20),Begegnungen!$E$49,""))</f>
        <v/>
      </c>
      <c r="I20" s="66" t="str">
        <f>IF(OR(Begegnungen!$I$35=C20,Begegnungen!$I$36=C20,Begegnungen!$I$37=C20,Begegnungen!$I$38=C20,Begegnungen!$I$39=C20,Begegnungen!$I$40=C20,Begegnungen!$I$41=C20),Begegnungen!$I$49,IF(OR(Begegnungen!$K$35=C20,Begegnungen!$K$36=C20,Begegnungen!$K$37=C20,Begegnungen!$K$38=C20,Begegnungen!$K$39=C20,Begegnungen!$K$40=C20,Begegnungen!$K$41=C20),Begegnungen!$K$49,""))</f>
        <v/>
      </c>
      <c r="J20" s="66" t="str">
        <f>IF(OR(Begegnungen!$C$52=C20,Begegnungen!$C$53=C20,Begegnungen!$C$54=C20,Begegnungen!$C$55=C20,Begegnungen!$C$56=C20,Begegnungen!$C$57=C20,Begegnungen!$C$58=C20),Begegnungen!$C$65,IF(OR(Begegnungen!$E$52=C20,Begegnungen!$E$53=C20,Begegnungen!$E$54=C20,Begegnungen!$E$55=C20,Begegnungen!$E$56=C20,Begegnungen!$E$57=C20,Begegnungen!$E$58=C20),Begegnungen!$E$65,""))</f>
        <v/>
      </c>
      <c r="K20" s="66" t="str">
        <f>IF(OR(Begegnungen!$I$52=C20,Begegnungen!$I$53=C20,Begegnungen!$I$54=C20,Begegnungen!$I$55=C20,Begegnungen!$I$56=C20,Begegnungen!$I$57=C20,Begegnungen!$I$58=C20),Begegnungen!$I$65,IF(OR(Begegnungen!$K$52=C20,Begegnungen!$K$53=C20,Begegnungen!$K$54=C20,Begegnungen!$K$55=C20,Begegnungen!$K$56=C20,Begegnungen!$K$57=C20,Begegnungen!$K$58=C20),Begegnungen!$K$65,""))</f>
        <v/>
      </c>
      <c r="L20" s="136" t="str">
        <f>IF(OR(Begegnungen!$C$68=C20,Begegnungen!$C$69=C20,Begegnungen!$C$70=C20,Begegnungen!$C$71=C20,Begegnungen!$C$72=C20,Begegnungen!$C$73=C20,Begegnungen!$C$74=C20),Begegnungen!$C$81,IF(OR(Begegnungen!$E$68=C20,Begegnungen!$E$69=C20,Begegnungen!$E$70=C20,Begegnungen!$E$71=C20,Begegnungen!$E$72=C20,Begegnungen!$E$73=C20,Begegnungen!$E$74=C20),Begegnungen!$E$81,""))</f>
        <v/>
      </c>
      <c r="M20" s="66" t="str">
        <f>IF(OR(Begegnungen!$I$68=C20,Begegnungen!$I$69=C20,Begegnungen!$I$70=C20,Begegnungen!$I$71=C20,Begegnungen!$I$72=C20,Begegnungen!$I$73=C20,Begegnungen!$I$74=C20),Begegnungen!$I$81,IF(OR(Begegnungen!$K$68=C20,Begegnungen!$K$69=C20,Begegnungen!$K$70=C20,Begegnungen!$K$71=C20,Begegnungen!$K$72=C20,Begegnungen!$K$73=C20,Begegnungen!$K$74=C20),Begegnungen!$K$81,""))</f>
        <v/>
      </c>
      <c r="N20" s="66" t="str">
        <f>IF(OR(Begegnungen!$C$84=C20,Begegnungen!$C$85=C20,Begegnungen!$C$86=C20,Begegnungen!$C$87=C20,Begegnungen!$C$88=C20,Begegnungen!$C$89=C20,Begegnungen!$C$90=C20),Begegnungen!$C$98,IF(OR(Begegnungen!$E$84=C20,Begegnungen!$E$85=C20,Begegnungen!$E$86=C20,Begegnungen!$E$87=C20,Begegnungen!$E$88=C20,Begegnungen!$E$89=C20,Begegnungen!$E$90=C20),Begegnungen!$E$98,""))</f>
        <v/>
      </c>
      <c r="O20" s="66" t="str">
        <f>IF(OR(Begegnungen!$I$84=C20,Begegnungen!$I$85=C20,Begegnungen!$I$86=C20,Begegnungen!$I$87=C20,Begegnungen!$I$88=C20,Begegnungen!$I$89=C20,Begegnungen!$I$90=C20),Begegnungen!$I$98,IF(OR(Begegnungen!$K$84=C20,Begegnungen!$K$85=C20,Begegnungen!$K$86=C20,Begegnungen!$K$87=C20,Begegnungen!$K$88=C20,Begegnungen!$K$89=C20,Begegnungen!$K$90=C20),Begegnungen!$K$98,""))</f>
        <v/>
      </c>
      <c r="P20" s="66" t="str">
        <f>IF(OR(Begegnungen!$C$101=C20,Begegnungen!$C$102=C20,Begegnungen!$C$103=C20,Begegnungen!$C$104=C20,Begegnungen!$C$105=C20,Begegnungen!$C$106=C20,Begegnungen!$C$107=C20),Begegnungen!$C$114,IF(OR(Begegnungen!$E$101=C20,Begegnungen!$E$102=C20,Begegnungen!$E$103=C20,Begegnungen!$E$104=C20,Begegnungen!$E$105=C20,Begegnungen!$E$106=C20,Begegnungen!$E$107=C20),Begegnungen!$E$114,""))</f>
        <v/>
      </c>
      <c r="Q20" s="66" t="str">
        <f>IF(OR(Begegnungen!$I$101=C20,Begegnungen!$I$102=C20,Begegnungen!$I$103=C20,Begegnungen!$I$104=C20,Begegnungen!$I$105=C20,Begegnungen!$I$106=C20,Begegnungen!$I$107=C20),Begegnungen!$I$114,IF(OR(Begegnungen!$K$101=C20,Begegnungen!$K$102=C20,Begegnungen!$K$103=C20,Begegnungen!$K$104=C20,Begegnungen!$K$105=C20,Begegnungen!$K$106=C20,Begegnungen!$K$107=C20),Begegnungen!$K$114,""))</f>
        <v/>
      </c>
      <c r="R20" s="136" t="str">
        <f>IF(OR(Begegnungen!$C$117=C20,Begegnungen!$C$118=C20,Begegnungen!$C$119=C20,Begegnungen!$C$120=C20,Begegnungen!$C$121=C20,Begegnungen!$C$122=C20,Begegnungen!$C$123=C20),Begegnungen!$C$130,IF(OR(Begegnungen!$E$117=C20,Begegnungen!$E$118=C20,Begegnungen!$E$119=C20,Begegnungen!$E$120=C20,Begegnungen!$E$121=C20,Begegnungen!$E$122=C20,Begegnungen!$E$123=C20),Begegnungen!$E$130,""))</f>
        <v/>
      </c>
      <c r="S20" s="66" t="str">
        <f>IF(OR(Begegnungen!$I$117=C20,Begegnungen!$I$118=C20,Begegnungen!$I$119=C20,Begegnungen!$I$120=C20,Begegnungen!$I$121=C20,Begegnungen!$I$122=C20,Begegnungen!$I$123=C20),Begegnungen!$I$130,IF(OR(Begegnungen!$K$117=C20,Begegnungen!$K$118=C20,Begegnungen!$K$119=C20,Begegnungen!$K$120=C20,Begegnungen!$K$121=C20,Begegnungen!$K$122=C20,Begegnungen!$K$123=C20),Begegnungen!$K$130,""))</f>
        <v/>
      </c>
      <c r="T20" s="66" t="str">
        <f>IF(OR(Begegnungen!$C$133=C20,Begegnungen!$C$134=C20,Begegnungen!$C$135=C20,Begegnungen!$C$136=C20,Begegnungen!$C$137=C20,Begegnungen!$C$138=C20,Begegnungen!$C$139=C20),Begegnungen!$C$146,IF(OR(Begegnungen!$E$133=C20,Begegnungen!$E$134=C20,Begegnungen!$E$135=C20,Begegnungen!$E$136=C20,Begegnungen!$E$137=C20,Begegnungen!$E$138=C20,Begegnungen!$E$139=C20),Begegnungen!$E$146,""))</f>
        <v/>
      </c>
      <c r="U20" s="66" t="str">
        <f>IF(OR(Begegnungen!$I$133=C20,Begegnungen!$I$134=C20,Begegnungen!$I$135=C20,Begegnungen!$I$136=C20,Begegnungen!$I$137=C20,Begegnungen!$I$138=C20,Begegnungen!$I$139=C20),Begegnungen!$I$146,IF(OR(Begegnungen!$K$133=C20,Begegnungen!$K$134=C20,Begegnungen!$K$135=C20,Begegnungen!$K$136=C20,Begegnungen!$K$137=C20,Begegnungen!$K$138=C20,Begegnungen!$K$139=C20),Begegnungen!$K$146,""))</f>
        <v/>
      </c>
      <c r="V20" s="66" t="str">
        <f>IF(OR(Begegnungen!$C$149=C20,Begegnungen!$C$150=C20,Begegnungen!$C$151=C20,Begegnungen!$C$152=C20,Begegnungen!$C$153=C20,Begegnungen!$C$154=C20,Begegnungen!$C$155=C20),Begegnungen!$C$162,IF(OR(Begegnungen!$E$149=C20,Begegnungen!$E$150=C20,Begegnungen!$E$151=C20,Begegnungen!$E$152=C20,Begegnungen!$E$153=C20,Begegnungen!$E$154=C20,Begegnungen!$E$155=C20),Begegnungen!$E$162,""))</f>
        <v/>
      </c>
      <c r="W20" s="66" t="str">
        <f>IF(OR(Begegnungen!$I$149=C20,Begegnungen!$I$150=C20,Begegnungen!$I$151=C20,Begegnungen!$I$152=C20,Begegnungen!$I$153=C20,Begegnungen!$I$154=C20,Begegnungen!$I$155=C20),Begegnungen!$I$162,IF(OR(Begegnungen!$K$149=C20,Begegnungen!$K$150=C20,Begegnungen!$K$151=C20,Begegnungen!$K$152=C20,Begegnungen!$K$153=C20,Begegnungen!$K$154=C20,Begegnungen!$K$155=C20),Begegnungen!$K$162,""))</f>
        <v/>
      </c>
      <c r="X20" s="66" t="str">
        <f>IF(OR(Begegnungen!$C$165=C20,Begegnungen!$C$166=C20,Begegnungen!$C$167=C20,Begegnungen!$C$168=C20,Begegnungen!$C$169=C20,Begegnungen!$C$170=C20,Begegnungen!$C$171=C20),Begegnungen!$C$178,IF(OR(Begegnungen!$E$165=C20,Begegnungen!$E$166=C20,Begegnungen!$E$167=C20,Begegnungen!$E$168=C20,Begegnungen!$E$169=C20,Begegnungen!$E$170=C20,Begegnungen!$E$171=C20),Begegnungen!$E$178,""))</f>
        <v/>
      </c>
      <c r="Y20" s="66" t="str">
        <f>IF(OR(Begegnungen!$I$165=C20,Begegnungen!$I$166=C20,Begegnungen!$I$167=C20,Begegnungen!$I$168=C20,Begegnungen!$I$169=C20,Begegnungen!$I$170=C20,Begegnungen!$I$171=C20),Begegnungen!$I$178,IF(OR(Begegnungen!$K$165=C20,Begegnungen!$K$166=C20,Begegnungen!$K$167=C20,Begegnungen!$K$168=C20,Begegnungen!$K$169=C20,Begegnungen!$K$170=C20,Begegnungen!$K$171=C20),Begegnungen!$K$178,""))</f>
        <v/>
      </c>
      <c r="Z20" s="66" t="str">
        <f>IF(OR(Begegnungen!$C$181=C20,Begegnungen!$C$182=C20,Begegnungen!$C$183=C20,Begegnungen!$C$184=C20,Begegnungen!$C$185=C20,Begegnungen!$C$186=C20,Begegnungen!$C$187=C20),Begegnungen!$C$194,IF(OR(Begegnungen!$E$181=C20,Begegnungen!$E$182=C20,Begegnungen!$E$183=C20,Begegnungen!$E$184=C20,Begegnungen!$E$185=C20,Begegnungen!$E$186=C20,Begegnungen!$E$187=C20),Begegnungen!$E$194,""))</f>
        <v/>
      </c>
      <c r="AA20" s="66" t="str">
        <f>IF(OR(Begegnungen!$I$181=C20,Begegnungen!$I$182=C20,Begegnungen!$I$183=C20,Begegnungen!$I$184=C20,Begegnungen!$I$185=C20,Begegnungen!$I$186=C20,Begegnungen!$I$187=C20),Begegnungen!$I$194,IF(OR(Begegnungen!$K$181=C20,Begegnungen!$K$182=C20,Begegnungen!$K$183=C20,Begegnungen!$K$184=C20,Begegnungen!$K$185=C20,Begegnungen!$K$186=C20,Begegnungen!$K$187=C20),Begegnungen!$K$194,""))</f>
        <v/>
      </c>
      <c r="AB20" s="66" t="str">
        <f>IF(OR(Begegnungen!$C$197=C20,Begegnungen!$C$198=C20,Begegnungen!$C$199=C20,Begegnungen!$C$200=C20,Begegnungen!$C$201=C20,Begegnungen!$C$202=C20,Begegnungen!$C$203=C20),Begegnungen!$C$210,IF(OR(Begegnungen!$E$197=C20,Begegnungen!$E$198=C20,Begegnungen!$E$199=C20,Begegnungen!$E$200=C20,Begegnungen!$E$201=C20,Begegnungen!$E$202=C20,Begegnungen!$E$203=C20),Begegnungen!$E$210,""))</f>
        <v/>
      </c>
      <c r="AC20" s="66" t="str">
        <f>IF(OR(Begegnungen!$I$197=C20,Begegnungen!$I$198=C20,Begegnungen!$I$199=C20,Begegnungen!$I$200=C20,Begegnungen!$I$201=C20,Begegnungen!$I$202=C20,Begegnungen!$I$203=C20),Begegnungen!$I$210,IF(OR(Begegnungen!$K$197=C20,Begegnungen!$K$198=C20,Begegnungen!$K$199=C20,Begegnungen!$K$200=C20,Begegnungen!$K$201=C20,Begegnungen!$K$202=C20,Begegnungen!$K$203=C20),Begegnungen!$K$210,""))</f>
        <v/>
      </c>
      <c r="AD20" s="66" t="str">
        <f>IF(OR(Begegnungen!$C$213=C20,Begegnungen!$C$214=C20,Begegnungen!$C$215=C20,Begegnungen!$C$216=C20,Begegnungen!$C$217=C20,Begegnungen!$C$218=C20,Begegnungen!$C$219=C20),Begegnungen!$C$226,IF(OR(Begegnungen!$E$213=C20,Begegnungen!$E$214=C20,Begegnungen!$E$215=C20,Begegnungen!$E$216=C20,Begegnungen!$E$217=C20,Begegnungen!$E$218=C20,Begegnungen!$E$219=C20),Begegnungen!$E$226,""))</f>
        <v/>
      </c>
      <c r="AE20" s="66" t="str">
        <f>IF(OR(Begegnungen!$I$213=C20,Begegnungen!$I$214=C20,Begegnungen!$I$215=C20,Begegnungen!$I$216=C20,Begegnungen!$I$217=C20,Begegnungen!$I$218=C20,Begegnungen!$I$219=C20),Begegnungen!$I$226,IF(OR(Begegnungen!$K$213=C20,Begegnungen!$K$214=C20,Begegnungen!$K$215=C20,Begegnungen!$K$216=C20,Begegnungen!$K$217=C20,Begegnungen!$K$218=C20,Begegnungen!$K$219=C20),Begegnungen!$K$226,""))</f>
        <v/>
      </c>
      <c r="AF20" s="136" t="str">
        <f>IF(OR(Begegnungen!$C$229=C20,Begegnungen!$C$230=C20,Begegnungen!$C$231=C20,Begegnungen!$C$232=C20,Begegnungen!$C$233=C20,Begegnungen!$C$234=C20,Begegnungen!$C$235=C20),Begegnungen!$C$242,IF(OR(Begegnungen!$E$229=C20,Begegnungen!$E$230=C20,Begegnungen!$E$231=C20,Begegnungen!$E$232=C20,Begegnungen!$E$233=C20,Begegnungen!$E$234=C20,Begegnungen!$E$235=C20),Begegnungen!$E$242,""))</f>
        <v/>
      </c>
      <c r="AG20" s="66" t="str">
        <f>IF(OR(Begegnungen!$I$229=C20,Begegnungen!$I$230=C20,Begegnungen!$I$231=C20,Begegnungen!$I$232=C20,Begegnungen!$I$233=C20,Begegnungen!$I$234=C20,Begegnungen!$I$235=C20),Begegnungen!$I$242,IF(OR(Begegnungen!$K$229=C20,Begegnungen!$K$230=C20,Begegnungen!$K$231=C20,Begegnungen!$K$232=C20,Begegnungen!$K$233=C20,Begegnungen!$K$234=C20,Begegnungen!$K$235=C20),Begegnungen!$K$242,""))</f>
        <v/>
      </c>
      <c r="AH20" s="66" t="str">
        <f>IF(OR(Begegnungen!$C$245=C20,Begegnungen!$C$246=C20,Begegnungen!$C$247=C20,Begegnungen!$C$248=C20,Begegnungen!$C$249=C20,Begegnungen!$C$250=C20,Begegnungen!$C$251=C20),Begegnungen!$C$258,IF(OR(Begegnungen!$E$245=C20,Begegnungen!$E$246=C20,Begegnungen!$E$247=C20,Begegnungen!$E$248=C20,Begegnungen!$E$249=C20,Begegnungen!$E$250=C20,Begegnungen!$E$251=C20),Begegnungen!$E$258,""))</f>
        <v/>
      </c>
      <c r="AI20" s="66" t="str">
        <f>IF(OR(Begegnungen!$I$245=C20,Begegnungen!$I$246=C20,Begegnungen!$I$247=C20,Begegnungen!$I$248=C20,Begegnungen!$I$249=C20,Begegnungen!$I$250=C20,Begegnungen!$I$251=C20),Begegnungen!$I$258,IF(OR(Begegnungen!$K$245=C20,Begegnungen!$K$246=C20,Begegnungen!$K$247=C20,Begegnungen!$K$248=C20,Begegnungen!$K$249=C20,Begegnungen!$K$250=C20,Begegnungen!$K$251=C20),Begegnungen!$K$258,""))</f>
        <v/>
      </c>
      <c r="AJ20" s="66" t="str">
        <f>IF(OR(Begegnungen!$C$261=C20,Begegnungen!$C$262=C20,Begegnungen!$C$263=C20,Begegnungen!$C$264=C20,Begegnungen!$C$265=C20,Begegnungen!$C$266=C20,Begegnungen!$C$267=C20),Begegnungen!$C$274,IF(OR(Begegnungen!$E$261=C20,Begegnungen!$E$262=C20,Begegnungen!$E$263=C20,Begegnungen!$E$264=C20,Begegnungen!$E$265=C20,Begegnungen!$E$266=C20,Begegnungen!$E$267=C20),Begegnungen!$E$274,""))</f>
        <v/>
      </c>
      <c r="AK20" s="66" t="str">
        <f>IF(OR(Begegnungen!$I$261=C20,Begegnungen!$I$262=C20,Begegnungen!$I$263=C20,Begegnungen!$I$264=C20,Begegnungen!$I$265=C20,Begegnungen!$I$266=C20,Begegnungen!$I$267=C20),Begegnungen!$I$274,IF(OR(Begegnungen!$K$261=C20,Begegnungen!$K$262=C20,Begegnungen!$K$263=C20,Begegnungen!$K$264=C20,Begegnungen!$K$265=C20,Begegnungen!$K$266=C20,Begegnungen!$K$267=C20),Begegnungen!$K$274,""))</f>
        <v/>
      </c>
      <c r="AL20" s="66" t="str">
        <f>IF(OR(Begegnungen!$C$277=C20,Begegnungen!$C$278=C20,Begegnungen!$C$279=C20,Begegnungen!$C$280=C20,Begegnungen!$C$281=C20,Begegnungen!$C$282=C20,Begegnungen!$C$283=C20),Begegnungen!$C$290,IF(OR(Begegnungen!$E$277=C20,Begegnungen!$E$278=C20,Begegnungen!$E$279=C20,Begegnungen!$E$280=C20,Begegnungen!$E$281=C20,Begegnungen!$E$282=C20,Begegnungen!$E$283=C20),Begegnungen!$E$290,""))</f>
        <v/>
      </c>
      <c r="AM20" s="136" t="str">
        <f>IF(OR(Begegnungen!$I$277=C20,Begegnungen!$I$278=C20,Begegnungen!$I$279=C20,Begegnungen!$I$280=C20,Begegnungen!$I$281=C20,Begegnungen!$I$282=C20,Begegnungen!$I$283=C20),Begegnungen!$I$290,IF(OR(Begegnungen!$K$277=C20,Begegnungen!$K$278=C20,Begegnungen!$K$279=C20,Begegnungen!$K$280=C20,Begegnungen!$K$281=C20,Begegnungen!$K$282=C20,Begegnungen!$K$283=C20),Begegnungen!$K$290,""))</f>
        <v/>
      </c>
      <c r="AN20" s="66" t="str">
        <f>IF(OR(Begegnungen!$C$293=C20,Begegnungen!$C$294=C20,Begegnungen!$C$295=C20,Begegnungen!$C$296=C20,Begegnungen!$C$297=C20,Begegnungen!$C$298=C20,Begegnungen!$C$299=C20),Begegnungen!$C$306,IF(OR(Begegnungen!$E$293=C20,Begegnungen!$E$294=C20,Begegnungen!$E$295=C20,Begegnungen!$E$296=C20,Begegnungen!$E$297=C20,Begegnungen!$E$298=C20,Begegnungen!$E$299=C20),Begegnungen!$E$306,""))</f>
        <v/>
      </c>
      <c r="AO20" s="136" t="str">
        <f>IF(OR(Begegnungen!$I$293=C20,Begegnungen!$I$294=C20,Begegnungen!$I$295=C20,Begegnungen!$I$296=C20,Begegnungen!$I$297=C20,Begegnungen!$I$298=C20,Begegnungen!$I$299=C20),Begegnungen!$I$306,IF(OR(Begegnungen!$K$293=C20,Begegnungen!$K$294=C20,Begegnungen!$K$295=C20,Begegnungen!$K$296=C20,Begegnungen!$K$297=C20,Begegnungen!$K$298=C20,Begegnungen!$K$299=C20),Begegnungen!$K$306,""))</f>
        <v/>
      </c>
      <c r="AP20" s="136" t="str">
        <f>IF(OR(Begegnungen!$C$309=C20,Begegnungen!$C$310=C20,Begegnungen!$C$311=C20,Begegnungen!$C$312=C20,Begegnungen!$C$313=C20,Begegnungen!$C$314=C20,Begegnungen!$C$315=C20),Begegnungen!$C$322,IF(OR(Begegnungen!$E$309=C20,Begegnungen!$E$310=C20,Begegnungen!$E$311=C20,Begegnungen!$E$312=C20,Begegnungen!$E$313=C20,Begegnungen!$E$314=C20,Begegnungen!$E$315=C20),Begegnungen!$E$322,""))</f>
        <v/>
      </c>
      <c r="AQ20" s="66" t="str">
        <f>IF(OR(Begegnungen!$I$309=C20,Begegnungen!$I$310=C20,Begegnungen!$I$311=C20,Begegnungen!$I$312=C20,Begegnungen!$I$313=C20,Begegnungen!$I$314=C20,Begegnungen!$I$315=C20),Begegnungen!$I$322,IF(OR(Begegnungen!$K$309=C20,Begegnungen!$K$310=C20,Begegnungen!$K$311=C20,Begegnungen!$K$312=C20,Begegnungen!$K$313=C20,Begegnungen!$K$314=C20,Begegnungen!$K$315=C20),Begegnungen!$K$322,""))</f>
        <v/>
      </c>
      <c r="AR20" s="18">
        <f t="shared" si="2"/>
        <v>0</v>
      </c>
      <c r="AS20" s="19">
        <f t="shared" si="0"/>
        <v>0</v>
      </c>
      <c r="AT20" s="22">
        <f t="shared" si="1"/>
        <v>0</v>
      </c>
      <c r="AU20" s="23" t="e">
        <f t="shared" si="3"/>
        <v>#DIV/0!</v>
      </c>
      <c r="AW20" s="70">
        <f t="shared" si="4"/>
        <v>0</v>
      </c>
      <c r="AX20" s="30">
        <f t="shared" si="5"/>
        <v>0</v>
      </c>
      <c r="AY20" s="71">
        <f t="shared" si="6"/>
        <v>0</v>
      </c>
    </row>
    <row r="21" spans="2:51" x14ac:dyDescent="0.25">
      <c r="B21" s="3">
        <v>16</v>
      </c>
      <c r="C21" s="65" t="s">
        <v>28</v>
      </c>
      <c r="D21" s="66" t="str">
        <f>IF(OR(Begegnungen!$C$3=C21,Begegnungen!$C$4=C21,Begegnungen!$C$5=C21,Begegnungen!$C$6=C21,Begegnungen!$C$7=C21,Begegnungen!$C$8=C21,Begegnungen!$C$9=C21),Begegnungen!$C$16,IF(OR(Begegnungen!$E$3=C21,Begegnungen!$E$4=C21,Begegnungen!$E$5=C21,Begegnungen!$E$6=C21,Begegnungen!$E$7=C21,Begegnungen!$E$8=C21,Begegnungen!$E$9=C21),Begegnungen!$E$16,""))</f>
        <v>1</v>
      </c>
      <c r="E21" s="66" t="str">
        <f>IF(OR(Begegnungen!$I$3=C21,Begegnungen!$I$4=C21,Begegnungen!$I$5=C21,Begegnungen!$I$6=C21,Begegnungen!$I$7=C21,Begegnungen!$I$8=C21,Begegnungen!$I$9=C21),Begegnungen!$I$16,IF(OR(Begegnungen!$K$3=C21,Begegnungen!$K$4=C21,Begegnungen!$K$5=C21,Begegnungen!$K$6=C21,Begegnungen!$K$7=C21,Begegnungen!$K$8=C21,Begegnungen!$K$9=C21),Begegnungen!$K$16,""))</f>
        <v>0</v>
      </c>
      <c r="F21" s="66" t="str">
        <f>IF(OR(Begegnungen!$C$19=C21,Begegnungen!$C$20=C21,Begegnungen!$C$21=C21,Begegnungen!$C$22=C21,Begegnungen!$C$23=C21,Begegnungen!$C$24=C21,Begegnungen!$C$25=C21),Begegnungen!$C$32,IF(OR(Begegnungen!$E$19=C21,Begegnungen!$E$20=C21,Begegnungen!$E$21=C21,Begegnungen!$E$22=C21,Begegnungen!$E$23=C21,Begegnungen!$E$24=C21,Begegnungen!$E$25=C21),Begegnungen!$E$32,""))</f>
        <v>3</v>
      </c>
      <c r="G21" s="66" t="str">
        <f>IF(OR(Begegnungen!$I$19=C21,Begegnungen!$I$20=C21,Begegnungen!$I$21=C21,Begegnungen!$I$22=C21,Begegnungen!$I$23=C21,Begegnungen!$I$24=C21,Begegnungen!$I$25=C21),Begegnungen!$I$32,IF(OR(Begegnungen!$K$19=C21,Begegnungen!$K$20=C21,Begegnungen!$K$21=C21,Begegnungen!$K$22=C21,Begegnungen!$K$23=C21,Begegnungen!$K$24=C21,Begegnungen!$K$25=C21),Begegnungen!$K$32,""))</f>
        <v>3</v>
      </c>
      <c r="H21" s="66" t="str">
        <f>IF(OR(Begegnungen!$C$35=C21,Begegnungen!$C$36=C21,Begegnungen!$C$37=C21,Begegnungen!$C$38=C21,Begegnungen!$C$39=C21,Begegnungen!$C$40=C21,Begegnungen!$C$41=C21),Begegnungen!$C$49,IF(OR(Begegnungen!$E$35=C21,Begegnungen!$E$36=C21,Begegnungen!$E$37=C21,Begegnungen!$E$38=C21,Begegnungen!$E$39=C21,Begegnungen!$E$40=C21,Begegnungen!$E$41=C21,Begegnungen!$E$42=C21),Begegnungen!$E$49,""))</f>
        <v>3</v>
      </c>
      <c r="I21" s="66" t="str">
        <f>IF(OR(Begegnungen!$I$35=C21,Begegnungen!$I$36=C21,Begegnungen!$I$37=C21,Begegnungen!$I$38=C21,Begegnungen!$I$39=C21,Begegnungen!$I$40=C21,Begegnungen!$I$41=C21),Begegnungen!$I$49,IF(OR(Begegnungen!$K$35=C21,Begegnungen!$K$36=C21,Begegnungen!$K$37=C21,Begegnungen!$K$38=C21,Begegnungen!$K$39=C21,Begegnungen!$K$40=C21,Begegnungen!$K$41=C21),Begegnungen!$K$49,""))</f>
        <v>1</v>
      </c>
      <c r="J21" s="66" t="str">
        <f>IF(OR(Begegnungen!$C$52=C21,Begegnungen!$C$53=C21,Begegnungen!$C$54=C21,Begegnungen!$C$55=C21,Begegnungen!$C$56=C21,Begegnungen!$C$57=C21,Begegnungen!$C$58=C21),Begegnungen!$C$65,IF(OR(Begegnungen!$E$52=C21,Begegnungen!$E$53=C21,Begegnungen!$E$54=C21,Begegnungen!$E$55=C21,Begegnungen!$E$56=C21,Begegnungen!$E$57=C21,Begegnungen!$E$58=C21),Begegnungen!$E$65,""))</f>
        <v>0</v>
      </c>
      <c r="K21" s="66" t="str">
        <f>IF(OR(Begegnungen!$I$52=C21,Begegnungen!$I$53=C21,Begegnungen!$I$54=C21,Begegnungen!$I$55=C21,Begegnungen!$I$56=C21,Begegnungen!$I$57=C21,Begegnungen!$I$58=C21),Begegnungen!$I$65,IF(OR(Begegnungen!$K$52=C21,Begegnungen!$K$53=C21,Begegnungen!$K$54=C21,Begegnungen!$K$55=C21,Begegnungen!$K$56=C21,Begegnungen!$K$57=C21,Begegnungen!$K$58=C21),Begegnungen!$K$65,""))</f>
        <v>3</v>
      </c>
      <c r="L21" s="136" t="str">
        <f>IF(OR(Begegnungen!$C$68=C21,Begegnungen!$C$69=C21,Begegnungen!$C$70=C21,Begegnungen!$C$71=C21,Begegnungen!$C$72=C21,Begegnungen!$C$73=C21,Begegnungen!$C$74=C21),Begegnungen!$C$81,IF(OR(Begegnungen!$E$68=C21,Begegnungen!$E$69=C21,Begegnungen!$E$70=C21,Begegnungen!$E$71=C21,Begegnungen!$E$72=C21,Begegnungen!$E$73=C21,Begegnungen!$E$74=C21),Begegnungen!$E$81,""))</f>
        <v>0</v>
      </c>
      <c r="M21" s="66" t="str">
        <f>IF(OR(Begegnungen!$I$68=C21,Begegnungen!$I$69=C21,Begegnungen!$I$70=C21,Begegnungen!$I$71=C21,Begegnungen!$I$72=C21,Begegnungen!$I$73=C21,Begegnungen!$I$74=C21),Begegnungen!$I$81,IF(OR(Begegnungen!$K$68=C21,Begegnungen!$K$69=C21,Begegnungen!$K$70=C21,Begegnungen!$K$71=C21,Begegnungen!$K$72=C21,Begegnungen!$K$73=C21,Begegnungen!$K$74=C21),Begegnungen!$K$81,""))</f>
        <v/>
      </c>
      <c r="N21" s="66" t="str">
        <f>IF(OR(Begegnungen!$C$84=C21,Begegnungen!$C$85=C21,Begegnungen!$C$86=C21,Begegnungen!$C$87=C21,Begegnungen!$C$88=C21,Begegnungen!$C$89=C21,Begegnungen!$C$90=C21),Begegnungen!$C$98,IF(OR(Begegnungen!$E$84=C21,Begegnungen!$E$85=C21,Begegnungen!$E$86=C21,Begegnungen!$E$87=C21,Begegnungen!$E$88=C21,Begegnungen!$E$89=C21,Begegnungen!$E$90=C21),Begegnungen!$E$98,""))</f>
        <v/>
      </c>
      <c r="O21" s="66" t="str">
        <f>IF(OR(Begegnungen!$I$84=C21,Begegnungen!$I$85=C21,Begegnungen!$I$86=C21,Begegnungen!$I$87=C21,Begegnungen!$I$88=C21,Begegnungen!$I$89=C21,Begegnungen!$I$90=C21),Begegnungen!$I$98,IF(OR(Begegnungen!$K$84=C21,Begegnungen!$K$85=C21,Begegnungen!$K$86=C21,Begegnungen!$K$87=C21,Begegnungen!$K$88=C21,Begegnungen!$K$89=C21,Begegnungen!$K$90=C21),Begegnungen!$K$98,""))</f>
        <v>3</v>
      </c>
      <c r="P21" s="66" t="str">
        <f>IF(OR(Begegnungen!$C$101=C21,Begegnungen!$C$102=C21,Begegnungen!$C$103=C21,Begegnungen!$C$104=C21,Begegnungen!$C$105=C21,Begegnungen!$C$106=C21,Begegnungen!$C$107=C21),Begegnungen!$C$114,IF(OR(Begegnungen!$E$101=C21,Begegnungen!$E$102=C21,Begegnungen!$E$103=C21,Begegnungen!$E$104=C21,Begegnungen!$E$105=C21,Begegnungen!$E$106=C21,Begegnungen!$E$107=C21),Begegnungen!$E$114,""))</f>
        <v/>
      </c>
      <c r="Q21" s="66" t="str">
        <f>IF(OR(Begegnungen!$I$101=C21,Begegnungen!$I$102=C21,Begegnungen!$I$103=C21,Begegnungen!$I$104=C21,Begegnungen!$I$105=C21,Begegnungen!$I$106=C21,Begegnungen!$I$107=C21),Begegnungen!$I$114,IF(OR(Begegnungen!$K$101=C21,Begegnungen!$K$102=C21,Begegnungen!$K$103=C21,Begegnungen!$K$104=C21,Begegnungen!$K$105=C21,Begegnungen!$K$106=C21,Begegnungen!$K$107=C21),Begegnungen!$K$114,""))</f>
        <v>3</v>
      </c>
      <c r="R21" s="136" t="str">
        <f>IF(OR(Begegnungen!$C$117=C21,Begegnungen!$C$118=C21,Begegnungen!$C$119=C21,Begegnungen!$C$120=C21,Begegnungen!$C$121=C21,Begegnungen!$C$122=C21,Begegnungen!$C$123=C21),Begegnungen!$C$130,IF(OR(Begegnungen!$E$117=C21,Begegnungen!$E$118=C21,Begegnungen!$E$119=C21,Begegnungen!$E$120=C21,Begegnungen!$E$121=C21,Begegnungen!$E$122=C21,Begegnungen!$E$123=C21),Begegnungen!$E$130,""))</f>
        <v>0</v>
      </c>
      <c r="S21" s="66" t="str">
        <f>IF(OR(Begegnungen!$I$117=C21,Begegnungen!$I$118=C21,Begegnungen!$I$119=C21,Begegnungen!$I$120=C21,Begegnungen!$I$121=C21,Begegnungen!$I$122=C21,Begegnungen!$I$123=C21),Begegnungen!$I$130,IF(OR(Begegnungen!$K$117=C21,Begegnungen!$K$118=C21,Begegnungen!$K$119=C21,Begegnungen!$K$120=C21,Begegnungen!$K$121=C21,Begegnungen!$K$122=C21,Begegnungen!$K$123=C21),Begegnungen!$K$130,""))</f>
        <v>0</v>
      </c>
      <c r="T21" s="66" t="str">
        <f>IF(OR(Begegnungen!$C$133=C21,Begegnungen!$C$134=C21,Begegnungen!$C$135=C21,Begegnungen!$C$136=C21,Begegnungen!$C$137=C21,Begegnungen!$C$138=C21,Begegnungen!$C$139=C21),Begegnungen!$C$146,IF(OR(Begegnungen!$E$133=C21,Begegnungen!$E$134=C21,Begegnungen!$E$135=C21,Begegnungen!$E$136=C21,Begegnungen!$E$137=C21,Begegnungen!$E$138=C21,Begegnungen!$E$139=C21),Begegnungen!$E$146,""))</f>
        <v>0</v>
      </c>
      <c r="U21" s="66" t="str">
        <f>IF(OR(Begegnungen!$I$133=C21,Begegnungen!$I$134=C21,Begegnungen!$I$135=C21,Begegnungen!$I$136=C21,Begegnungen!$I$137=C21,Begegnungen!$I$138=C21,Begegnungen!$I$139=C21),Begegnungen!$I$146,IF(OR(Begegnungen!$K$133=C21,Begegnungen!$K$134=C21,Begegnungen!$K$135=C21,Begegnungen!$K$136=C21,Begegnungen!$K$137=C21,Begegnungen!$K$138=C21,Begegnungen!$K$139=C21),Begegnungen!$K$146,""))</f>
        <v>3</v>
      </c>
      <c r="V21" s="66" t="str">
        <f>IF(OR(Begegnungen!$C$149=C21,Begegnungen!$C$150=C21,Begegnungen!$C$151=C21,Begegnungen!$C$152=C21,Begegnungen!$C$153=C21,Begegnungen!$C$154=C21,Begegnungen!$C$155=C21),Begegnungen!$C$162,IF(OR(Begegnungen!$E$149=C21,Begegnungen!$E$150=C21,Begegnungen!$E$151=C21,Begegnungen!$E$152=C21,Begegnungen!$E$153=C21,Begegnungen!$E$154=C21,Begegnungen!$E$155=C21),Begegnungen!$E$162,""))</f>
        <v/>
      </c>
      <c r="W21" s="66" t="str">
        <f>IF(OR(Begegnungen!$I$149=C21,Begegnungen!$I$150=C21,Begegnungen!$I$151=C21,Begegnungen!$I$152=C21,Begegnungen!$I$153=C21,Begegnungen!$I$154=C21,Begegnungen!$I$155=C21),Begegnungen!$I$162,IF(OR(Begegnungen!$K$149=C21,Begegnungen!$K$150=C21,Begegnungen!$K$151=C21,Begegnungen!$K$152=C21,Begegnungen!$K$153=C21,Begegnungen!$K$154=C21,Begegnungen!$K$155=C21),Begegnungen!$K$162,""))</f>
        <v>0</v>
      </c>
      <c r="X21" s="66" t="str">
        <f>IF(OR(Begegnungen!$C$165=C21,Begegnungen!$C$166=C21,Begegnungen!$C$167=C21,Begegnungen!$C$168=C21,Begegnungen!$C$169=C21,Begegnungen!$C$170=C21,Begegnungen!$C$171=C21),Begegnungen!$C$178,IF(OR(Begegnungen!$E$165=C21,Begegnungen!$E$166=C21,Begegnungen!$E$167=C21,Begegnungen!$E$168=C21,Begegnungen!$E$169=C21,Begegnungen!$E$170=C21,Begegnungen!$E$171=C21),Begegnungen!$E$178,""))</f>
        <v>0</v>
      </c>
      <c r="Y21" s="66" t="str">
        <f>IF(OR(Begegnungen!$I$165=C21,Begegnungen!$I$166=C21,Begegnungen!$I$167=C21,Begegnungen!$I$168=C21,Begegnungen!$I$169=C21,Begegnungen!$I$170=C21,Begegnungen!$I$171=C21),Begegnungen!$I$178,IF(OR(Begegnungen!$K$165=C21,Begegnungen!$K$166=C21,Begegnungen!$K$167=C21,Begegnungen!$K$168=C21,Begegnungen!$K$169=C21,Begegnungen!$K$170=C21,Begegnungen!$K$171=C21),Begegnungen!$K$178,""))</f>
        <v>0</v>
      </c>
      <c r="Z21" s="66" t="str">
        <f>IF(OR(Begegnungen!$C$181=C21,Begegnungen!$C$182=C21,Begegnungen!$C$183=C21,Begegnungen!$C$184=C21,Begegnungen!$C$185=C21,Begegnungen!$C$186=C21,Begegnungen!$C$187=C21),Begegnungen!$C$194,IF(OR(Begegnungen!$E$181=C21,Begegnungen!$E$182=C21,Begegnungen!$E$183=C21,Begegnungen!$E$184=C21,Begegnungen!$E$185=C21,Begegnungen!$E$186=C21,Begegnungen!$E$187=C21),Begegnungen!$E$194,""))</f>
        <v>3</v>
      </c>
      <c r="AA21" s="66" t="str">
        <f>IF(OR(Begegnungen!$I$181=C21,Begegnungen!$I$182=C21,Begegnungen!$I$183=C21,Begegnungen!$I$184=C21,Begegnungen!$I$185=C21,Begegnungen!$I$186=C21,Begegnungen!$I$187=C21),Begegnungen!$I$194,IF(OR(Begegnungen!$K$181=C21,Begegnungen!$K$182=C21,Begegnungen!$K$183=C21,Begegnungen!$K$184=C21,Begegnungen!$K$185=C21,Begegnungen!$K$186=C21,Begegnungen!$K$187=C21),Begegnungen!$K$194,""))</f>
        <v>3</v>
      </c>
      <c r="AB21" s="66" t="str">
        <f>IF(OR(Begegnungen!$C$197=C21,Begegnungen!$C$198=C21,Begegnungen!$C$199=C21,Begegnungen!$C$200=C21,Begegnungen!$C$201=C21,Begegnungen!$C$202=C21,Begegnungen!$C$203=C21),Begegnungen!$C$210,IF(OR(Begegnungen!$E$197=C21,Begegnungen!$E$198=C21,Begegnungen!$E$199=C21,Begegnungen!$E$200=C21,Begegnungen!$E$201=C21,Begegnungen!$E$202=C21,Begegnungen!$E$203=C21),Begegnungen!$E$210,""))</f>
        <v>3</v>
      </c>
      <c r="AC21" s="66" t="str">
        <f>IF(OR(Begegnungen!$I$197=C21,Begegnungen!$I$198=C21,Begegnungen!$I$199=C21,Begegnungen!$I$200=C21,Begegnungen!$I$201=C21,Begegnungen!$I$202=C21,Begegnungen!$I$203=C21),Begegnungen!$I$210,IF(OR(Begegnungen!$K$197=C21,Begegnungen!$K$198=C21,Begegnungen!$K$199=C21,Begegnungen!$K$200=C21,Begegnungen!$K$201=C21,Begegnungen!$K$202=C21,Begegnungen!$K$203=C21),Begegnungen!$K$210,""))</f>
        <v/>
      </c>
      <c r="AD21" s="66" t="str">
        <f>IF(OR(Begegnungen!$C$213=C21,Begegnungen!$C$214=C21,Begegnungen!$C$215=C21,Begegnungen!$C$216=C21,Begegnungen!$C$217=C21,Begegnungen!$C$218=C21,Begegnungen!$C$219=C21),Begegnungen!$C$226,IF(OR(Begegnungen!$E$213=C21,Begegnungen!$E$214=C21,Begegnungen!$E$215=C21,Begegnungen!$E$216=C21,Begegnungen!$E$217=C21,Begegnungen!$E$218=C21,Begegnungen!$E$219=C21),Begegnungen!$E$226,""))</f>
        <v>3</v>
      </c>
      <c r="AE21" s="66" t="str">
        <f>IF(OR(Begegnungen!$I$213=C21,Begegnungen!$I$214=C21,Begegnungen!$I$215=C21,Begegnungen!$I$216=C21,Begegnungen!$I$217=C21,Begegnungen!$I$218=C21,Begegnungen!$I$219=C21),Begegnungen!$I$226,IF(OR(Begegnungen!$K$213=C21,Begegnungen!$K$214=C21,Begegnungen!$K$215=C21,Begegnungen!$K$216=C21,Begegnungen!$K$217=C21,Begegnungen!$K$218=C21,Begegnungen!$K$219=C21),Begegnungen!$K$226,""))</f>
        <v/>
      </c>
      <c r="AF21" s="136" t="str">
        <f>IF(OR(Begegnungen!$C$229=C21,Begegnungen!$C$230=C21,Begegnungen!$C$231=C21,Begegnungen!$C$232=C21,Begegnungen!$C$233=C21,Begegnungen!$C$234=C21,Begegnungen!$C$235=C21),Begegnungen!$C$242,IF(OR(Begegnungen!$E$229=C21,Begegnungen!$E$230=C21,Begegnungen!$E$231=C21,Begegnungen!$E$232=C21,Begegnungen!$E$233=C21,Begegnungen!$E$234=C21,Begegnungen!$E$235=C21),Begegnungen!$E$242,""))</f>
        <v>3</v>
      </c>
      <c r="AG21" s="66" t="str">
        <f>IF(OR(Begegnungen!$I$229=C21,Begegnungen!$I$230=C21,Begegnungen!$I$231=C21,Begegnungen!$I$232=C21,Begegnungen!$I$233=C21,Begegnungen!$I$234=C21,Begegnungen!$I$235=C21),Begegnungen!$I$242,IF(OR(Begegnungen!$K$229=C21,Begegnungen!$K$230=C21,Begegnungen!$K$231=C21,Begegnungen!$K$232=C21,Begegnungen!$K$233=C21,Begegnungen!$K$234=C21,Begegnungen!$K$235=C21),Begegnungen!$K$242,""))</f>
        <v>0</v>
      </c>
      <c r="AH21" s="66" t="str">
        <f>IF(OR(Begegnungen!$C$245=C21,Begegnungen!$C$246=C21,Begegnungen!$C$247=C21,Begegnungen!$C$248=C21,Begegnungen!$C$249=C21,Begegnungen!$C$250=C21,Begegnungen!$C$251=C21),Begegnungen!$C$258,IF(OR(Begegnungen!$E$245=C21,Begegnungen!$E$246=C21,Begegnungen!$E$247=C21,Begegnungen!$E$248=C21,Begegnungen!$E$249=C21,Begegnungen!$E$250=C21,Begegnungen!$E$251=C21),Begegnungen!$E$258,""))</f>
        <v>3</v>
      </c>
      <c r="AI21" s="66" t="str">
        <f>IF(OR(Begegnungen!$I$245=C21,Begegnungen!$I$246=C21,Begegnungen!$I$247=C21,Begegnungen!$I$248=C21,Begegnungen!$I$249=C21,Begegnungen!$I$250=C21,Begegnungen!$I$251=C21),Begegnungen!$I$258,IF(OR(Begegnungen!$K$245=C21,Begegnungen!$K$246=C21,Begegnungen!$K$247=C21,Begegnungen!$K$248=C21,Begegnungen!$K$249=C21,Begegnungen!$K$250=C21,Begegnungen!$K$251=C21),Begegnungen!$K$258,""))</f>
        <v>0</v>
      </c>
      <c r="AJ21" s="66" t="str">
        <f>IF(OR(Begegnungen!$C$261=C21,Begegnungen!$C$262=C21,Begegnungen!$C$263=C21,Begegnungen!$C$264=C21,Begegnungen!$C$265=C21,Begegnungen!$C$266=C21,Begegnungen!$C$267=C21),Begegnungen!$C$274,IF(OR(Begegnungen!$E$261=C21,Begegnungen!$E$262=C21,Begegnungen!$E$263=C21,Begegnungen!$E$264=C21,Begegnungen!$E$265=C21,Begegnungen!$E$266=C21,Begegnungen!$E$267=C21),Begegnungen!$E$274,""))</f>
        <v>0</v>
      </c>
      <c r="AK21" s="66" t="str">
        <f>IF(OR(Begegnungen!$I$261=C21,Begegnungen!$I$262=C21,Begegnungen!$I$263=C21,Begegnungen!$I$264=C21,Begegnungen!$I$265=C21,Begegnungen!$I$266=C21,Begegnungen!$I$267=C21),Begegnungen!$I$274,IF(OR(Begegnungen!$K$261=C21,Begegnungen!$K$262=C21,Begegnungen!$K$263=C21,Begegnungen!$K$264=C21,Begegnungen!$K$265=C21,Begegnungen!$K$266=C21,Begegnungen!$K$267=C21),Begegnungen!$K$274,""))</f>
        <v>1</v>
      </c>
      <c r="AL21" s="66" t="str">
        <f>IF(OR(Begegnungen!$C$277=C21,Begegnungen!$C$278=C21,Begegnungen!$C$279=C21,Begegnungen!$C$280=C21,Begegnungen!$C$281=C21,Begegnungen!$C$282=C21,Begegnungen!$C$283=C21),Begegnungen!$C$290,IF(OR(Begegnungen!$E$277=C21,Begegnungen!$E$278=C21,Begegnungen!$E$279=C21,Begegnungen!$E$280=C21,Begegnungen!$E$281=C21,Begegnungen!$E$282=C21,Begegnungen!$E$283=C21),Begegnungen!$E$290,""))</f>
        <v>3</v>
      </c>
      <c r="AM21" s="136" t="str">
        <f>IF(OR(Begegnungen!$I$277=C21,Begegnungen!$I$278=C21,Begegnungen!$I$279=C21,Begegnungen!$I$280=C21,Begegnungen!$I$281=C21,Begegnungen!$I$282=C21,Begegnungen!$I$283=C21),Begegnungen!$I$290,IF(OR(Begegnungen!$K$277=C21,Begegnungen!$K$278=C21,Begegnungen!$K$279=C21,Begegnungen!$K$280=C21,Begegnungen!$K$281=C21,Begegnungen!$K$282=C21,Begegnungen!$K$283=C21),Begegnungen!$K$290,""))</f>
        <v>3</v>
      </c>
      <c r="AN21" s="66" t="str">
        <f>IF(OR(Begegnungen!$C$293=C21,Begegnungen!$C$294=C21,Begegnungen!$C$295=C21,Begegnungen!$C$296=C21,Begegnungen!$C$297=C21,Begegnungen!$C$298=C21,Begegnungen!$C$299=C21),Begegnungen!$C$306,IF(OR(Begegnungen!$E$293=C21,Begegnungen!$E$294=C21,Begegnungen!$E$295=C21,Begegnungen!$E$296=C21,Begegnungen!$E$297=C21,Begegnungen!$E$298=C21,Begegnungen!$E$299=C21),Begegnungen!$E$306,""))</f>
        <v>3</v>
      </c>
      <c r="AO21" s="136" t="str">
        <f>IF(OR(Begegnungen!$I$293=C21,Begegnungen!$I$294=C21,Begegnungen!$I$295=C21,Begegnungen!$I$296=C21,Begegnungen!$I$297=C21,Begegnungen!$I$298=C21,Begegnungen!$I$299=C21),Begegnungen!$I$306,IF(OR(Begegnungen!$K$293=C21,Begegnungen!$K$294=C21,Begegnungen!$K$295=C21,Begegnungen!$K$296=C21,Begegnungen!$K$297=C21,Begegnungen!$K$298=C21,Begegnungen!$K$299=C21),Begegnungen!$K$306,""))</f>
        <v>3</v>
      </c>
      <c r="AP21" s="136" t="str">
        <f>IF(OR(Begegnungen!$C$309=C21,Begegnungen!$C$310=C21,Begegnungen!$C$311=C21,Begegnungen!$C$312=C21,Begegnungen!$C$313=C21,Begegnungen!$C$314=C21,Begegnungen!$C$315=C21),Begegnungen!$C$322,IF(OR(Begegnungen!$E$309=C21,Begegnungen!$E$310=C21,Begegnungen!$E$311=C21,Begegnungen!$E$312=C21,Begegnungen!$E$313=C21,Begegnungen!$E$314=C21,Begegnungen!$E$315=C21),Begegnungen!$E$322,""))</f>
        <v>0</v>
      </c>
      <c r="AQ21" s="66" t="str">
        <f>IF(OR(Begegnungen!$I$309=C21,Begegnungen!$I$310=C21,Begegnungen!$I$311=C21,Begegnungen!$I$312=C21,Begegnungen!$I$313=C21,Begegnungen!$I$314=C21,Begegnungen!$I$315=C21),Begegnungen!$I$322,IF(OR(Begegnungen!$K$309=C21,Begegnungen!$K$310=C21,Begegnungen!$K$311=C21,Begegnungen!$K$312=C21,Begegnungen!$K$313=C21,Begegnungen!$K$314=C21,Begegnungen!$K$315=C21),Begegnungen!$K$322,""))</f>
        <v>3</v>
      </c>
      <c r="AR21" s="18">
        <f t="shared" si="2"/>
        <v>57</v>
      </c>
      <c r="AS21" s="19">
        <f t="shared" si="0"/>
        <v>34</v>
      </c>
      <c r="AT21" s="20">
        <f t="shared" si="1"/>
        <v>1.7000000000000002</v>
      </c>
      <c r="AU21" s="21">
        <f t="shared" si="3"/>
        <v>3.3764705882352946</v>
      </c>
      <c r="AW21" s="70">
        <f t="shared" si="4"/>
        <v>18</v>
      </c>
      <c r="AX21" s="30">
        <f t="shared" si="5"/>
        <v>3</v>
      </c>
      <c r="AY21" s="71">
        <f t="shared" si="6"/>
        <v>13</v>
      </c>
    </row>
    <row r="22" spans="2:51" x14ac:dyDescent="0.25">
      <c r="B22" s="3">
        <v>17</v>
      </c>
      <c r="C22" s="65" t="s">
        <v>19</v>
      </c>
      <c r="D22" s="66" t="str">
        <f>IF(OR(Begegnungen!$C$3=C22,Begegnungen!$C$4=C22,Begegnungen!$C$5=C22,Begegnungen!$C$6=C22,Begegnungen!$C$7=C22,Begegnungen!$C$8=C22,Begegnungen!$C$9=C22),Begegnungen!$C$16,IF(OR(Begegnungen!$E$3=C22,Begegnungen!$E$4=C22,Begegnungen!$E$5=C22,Begegnungen!$E$6=C22,Begegnungen!$E$7=C22,Begegnungen!$E$8=C22,Begegnungen!$E$9=C22),Begegnungen!$E$16,""))</f>
        <v>1</v>
      </c>
      <c r="E22" s="66" t="str">
        <f>IF(OR(Begegnungen!$I$3=C22,Begegnungen!$I$4=C22,Begegnungen!$I$5=C22,Begegnungen!$I$6=C22,Begegnungen!$I$7=C22,Begegnungen!$I$8=C22,Begegnungen!$I$9=C22),Begegnungen!$I$16,IF(OR(Begegnungen!$K$3=C22,Begegnungen!$K$4=C22,Begegnungen!$K$5=C22,Begegnungen!$K$6=C22,Begegnungen!$K$7=C22,Begegnungen!$K$8=C22,Begegnungen!$K$9=C22),Begegnungen!$K$16,""))</f>
        <v>0</v>
      </c>
      <c r="F22" s="66" t="str">
        <f>IF(OR(Begegnungen!$C$19=C22,Begegnungen!$C$20=C22,Begegnungen!$C$21=C22,Begegnungen!$C$22=C22,Begegnungen!$C$23=C22,Begegnungen!$C$24=C22,Begegnungen!$C$25=C22),Begegnungen!$C$32,IF(OR(Begegnungen!$E$19=C22,Begegnungen!$E$20=C22,Begegnungen!$E$21=C22,Begegnungen!$E$22=C22,Begegnungen!$E$23=C22,Begegnungen!$E$24=C22,Begegnungen!$E$25=C22),Begegnungen!$E$32,""))</f>
        <v>3</v>
      </c>
      <c r="G22" s="66" t="str">
        <f>IF(OR(Begegnungen!$I$19=C22,Begegnungen!$I$20=C22,Begegnungen!$I$21=C22,Begegnungen!$I$22=C22,Begegnungen!$I$23=C22,Begegnungen!$I$24=C22,Begegnungen!$I$25=C22),Begegnungen!$I$32,IF(OR(Begegnungen!$K$19=C22,Begegnungen!$K$20=C22,Begegnungen!$K$21=C22,Begegnungen!$K$22=C22,Begegnungen!$K$23=C22,Begegnungen!$K$24=C22,Begegnungen!$K$25=C22),Begegnungen!$K$32,""))</f>
        <v/>
      </c>
      <c r="H22" s="66" t="str">
        <f>IF(OR(Begegnungen!$C$35=C22,Begegnungen!$C$36=C22,Begegnungen!$C$37=C22,Begegnungen!$C$38=C22,Begegnungen!$C$39=C22,Begegnungen!$C$40=C22,Begegnungen!$C$41=C22),Begegnungen!$C$49,IF(OR(Begegnungen!$E$35=C22,Begegnungen!$E$36=C22,Begegnungen!$E$37=C22,Begegnungen!$E$38=C22,Begegnungen!$E$39=C22,Begegnungen!$E$40=C22,Begegnungen!$E$41=C22),Begegnungen!$E$49,""))</f>
        <v/>
      </c>
      <c r="I22" s="66" t="str">
        <f>IF(OR(Begegnungen!$I$35=C22,Begegnungen!$I$36=C22,Begegnungen!$I$37=C22,Begegnungen!$I$38=C22,Begegnungen!$I$39=C22,Begegnungen!$I$40=C22,Begegnungen!$I$41=C22),Begegnungen!$I$49,IF(OR(Begegnungen!$K$35=C22,Begegnungen!$K$36=C22,Begegnungen!$K$37=C22,Begegnungen!$K$38=C22,Begegnungen!$K$39=C22,Begegnungen!$K$40=C22,Begegnungen!$K$41=C22),Begegnungen!$K$49,""))</f>
        <v/>
      </c>
      <c r="J22" s="66" t="str">
        <f>IF(OR(Begegnungen!$C$52=C22,Begegnungen!$C$53=C22,Begegnungen!$C$54=C22,Begegnungen!$C$55=C22,Begegnungen!$C$56=C22,Begegnungen!$C$57=C22,Begegnungen!$C$58=C22),Begegnungen!$C$65,IF(OR(Begegnungen!$E$52=C22,Begegnungen!$E$53=C22,Begegnungen!$E$54=C22,Begegnungen!$E$55=C22,Begegnungen!$E$56=C22,Begegnungen!$E$57=C22,Begegnungen!$E$58=C22),Begegnungen!$E$65,""))</f>
        <v>0</v>
      </c>
      <c r="K22" s="66" t="str">
        <f>IF(OR(Begegnungen!$I$52=C22,Begegnungen!$I$53=C22,Begegnungen!$I$54=C22,Begegnungen!$I$55=C22,Begegnungen!$I$56=C22,Begegnungen!$I$57=C22,Begegnungen!$I$58=C22),Begegnungen!$I$65,IF(OR(Begegnungen!$K$52=C22,Begegnungen!$K$53=C22,Begegnungen!$K$54=C22,Begegnungen!$K$55=C22,Begegnungen!$K$56=C22,Begegnungen!$K$57=C22,Begegnungen!$K$58=C22),Begegnungen!$K$65,""))</f>
        <v/>
      </c>
      <c r="L22" s="136" t="str">
        <f>IF(OR(Begegnungen!$C$68=C22,Begegnungen!$C$69=C22,Begegnungen!$C$70=C22,Begegnungen!$C$71=C22,Begegnungen!$C$72=C22,Begegnungen!$C$73=C22,Begegnungen!$C$74=C22),Begegnungen!$C$81,IF(OR(Begegnungen!$E$68=C22,Begegnungen!$E$69=C22,Begegnungen!$E$70=C22,Begegnungen!$E$71=C22,Begegnungen!$E$72=C22,Begegnungen!$E$73=C22,Begegnungen!$E$74=C22),Begegnungen!$E$81,""))</f>
        <v/>
      </c>
      <c r="M22" s="66" t="str">
        <f>IF(OR(Begegnungen!$I$68=C22,Begegnungen!$I$69=C22,Begegnungen!$I$70=C22,Begegnungen!$I$71=C22,Begegnungen!$I$72=C22,Begegnungen!$I$73=C22,Begegnungen!$I$74=C22),Begegnungen!$I$81,IF(OR(Begegnungen!$K$68=C22,Begegnungen!$K$69=C22,Begegnungen!$K$70=C22,Begegnungen!$K$71=C22,Begegnungen!$K$72=C22,Begegnungen!$K$73=C22,Begegnungen!$K$74=C22),Begegnungen!$K$81,""))</f>
        <v/>
      </c>
      <c r="N22" s="66" t="str">
        <f>IF(OR(Begegnungen!$C$84=C22,Begegnungen!$C$85=C22,Begegnungen!$C$86=C22,Begegnungen!$C$87=C22,Begegnungen!$C$88=C22,Begegnungen!$C$89=C22,Begegnungen!$C$90=C22),Begegnungen!$C$98,IF(OR(Begegnungen!$E$84=C22,Begegnungen!$E$85=C22,Begegnungen!$E$86=C22,Begegnungen!$E$87=C22,Begegnungen!$E$88=C22,Begegnungen!$E$89=C22,Begegnungen!$E$90=C22),Begegnungen!$E$98,""))</f>
        <v/>
      </c>
      <c r="O22" s="66" t="str">
        <f>IF(OR(Begegnungen!$I$84=C22,Begegnungen!$I$85=C22,Begegnungen!$I$86=C22,Begegnungen!$I$87=C22,Begegnungen!$I$88=C22,Begegnungen!$I$89=C22,Begegnungen!$I$90=C22,Begegnungen!$I$91=C22),Begegnungen!$I$98,IF(OR(Begegnungen!$K$84=C22,Begegnungen!$K$85=C22,Begegnungen!$K$86=C22,Begegnungen!$K$87=C22,Begegnungen!$K$88=C22,Begegnungen!$K$89=C22,Begegnungen!$K$90=C22,Begegnungen!$K$91=C22),Begegnungen!$K$98,""))</f>
        <v>0</v>
      </c>
      <c r="P22" s="66" t="str">
        <f>IF(OR(Begegnungen!$C$101=C22,Begegnungen!$C$102=C22,Begegnungen!$C$103=C22,Begegnungen!$C$104=C22,Begegnungen!$C$105=C22,Begegnungen!$C$106=C22,Begegnungen!$C$107=C22),Begegnungen!$C$114,IF(OR(Begegnungen!$E$101=C22,Begegnungen!$E$102=C22,Begegnungen!$E$103=C22,Begegnungen!$E$104=C22,Begegnungen!$E$105=C22,Begegnungen!$E$106=C22,Begegnungen!$E$107=C22),Begegnungen!$E$114,""))</f>
        <v/>
      </c>
      <c r="Q22" s="66" t="str">
        <f>IF(OR(Begegnungen!$I$101=C22,Begegnungen!$I$102=C22,Begegnungen!$I$103=C22,Begegnungen!$I$104=C22,Begegnungen!$I$105=C22,Begegnungen!$I$106=C22,Begegnungen!$I$107=C22),Begegnungen!$I$114,IF(OR(Begegnungen!$K$101=C22,Begegnungen!$K$102=C22,Begegnungen!$K$103=C22,Begegnungen!$K$104=C22,Begegnungen!$K$105=C22,Begegnungen!$K$106=C22,Begegnungen!$K$107=C22),Begegnungen!$K$114,""))</f>
        <v/>
      </c>
      <c r="R22" s="136" t="str">
        <f>IF(OR(Begegnungen!$C$117=C22,Begegnungen!$C$118=C22,Begegnungen!$C$119=C22,Begegnungen!$C$120=C22,Begegnungen!$C$121=C22,Begegnungen!$C$122=C22,Begegnungen!$C$123=C22),Begegnungen!$C$130,IF(OR(Begegnungen!$E$117=C22,Begegnungen!$E$118=C22,Begegnungen!$E$119=C22,Begegnungen!$E$120=C22,Begegnungen!$E$121=C22,Begegnungen!$E$122=C22,Begegnungen!$E$123=C22),Begegnungen!$E$130,""))</f>
        <v>0</v>
      </c>
      <c r="S22" s="66" t="str">
        <f>IF(OR(Begegnungen!$I$117=C22,Begegnungen!$I$118=C22,Begegnungen!$I$119=C22,Begegnungen!$I$120=C22,Begegnungen!$I$121=C22,Begegnungen!$I$122=C22,Begegnungen!$I$123=C22),Begegnungen!$I$130,IF(OR(Begegnungen!$K$117=C22,Begegnungen!$K$118=C22,Begegnungen!$K$119=C22,Begegnungen!$K$120=C22,Begegnungen!$K$121=C22,Begegnungen!$K$122=C22,Begegnungen!$K$123=C22),Begegnungen!$K$130,""))</f>
        <v/>
      </c>
      <c r="T22" s="66" t="str">
        <f>IF(OR(Begegnungen!$C$133=C22,Begegnungen!$C$134=C22,Begegnungen!$C$135=C22,Begegnungen!$C$136=C22,Begegnungen!$C$137=C22,Begegnungen!$C$138=C22,Begegnungen!$C$139=C22),Begegnungen!$C$146,IF(OR(Begegnungen!$E$133=C22,Begegnungen!$E$134=C22,Begegnungen!$E$135=C22,Begegnungen!$E$136=C22,Begegnungen!$E$137=C22,Begegnungen!$E$138=C22,Begegnungen!$E$139=C22),Begegnungen!$E$146,""))</f>
        <v/>
      </c>
      <c r="U22" s="66" t="str">
        <f>IF(OR(Begegnungen!$I$133=C22,Begegnungen!$I$134=C22,Begegnungen!$I$135=C22,Begegnungen!$I$136=C22,Begegnungen!$I$137=C22,Begegnungen!$I$138=C22,Begegnungen!$I$139=C22),Begegnungen!$I$146,IF(OR(Begegnungen!$K$133=C22,Begegnungen!$K$134=C22,Begegnungen!$K$135=C22,Begegnungen!$K$136=C22,Begegnungen!$K$137=C22,Begegnungen!$K$138=C22,Begegnungen!$K$139=C22),Begegnungen!$K$146,""))</f>
        <v>0</v>
      </c>
      <c r="V22" s="66" t="str">
        <f>IF(OR(Begegnungen!$C$149=C22,Begegnungen!$C$150=C22,Begegnungen!$C$151=C22,Begegnungen!$C$152=C22,Begegnungen!$C$153=C22,Begegnungen!$C$154=C22,Begegnungen!$C$155=C22),Begegnungen!$C$162,IF(OR(Begegnungen!$E$149=C22,Begegnungen!$E$150=C22,Begegnungen!$E$151=C22,Begegnungen!$E$152=C22,Begegnungen!$E$153=C22,Begegnungen!$E$154=C22,Begegnungen!$E$155=C22),Begegnungen!$E$162,""))</f>
        <v/>
      </c>
      <c r="W22" s="66" t="str">
        <f>IF(OR(Begegnungen!$I$149=C22,Begegnungen!$I$150=C22,Begegnungen!$I$151=C22,Begegnungen!$I$152=C22,Begegnungen!$I$153=C22,Begegnungen!$I$154=C22,Begegnungen!$I$155=C22),Begegnungen!$I$162,IF(OR(Begegnungen!$K$149=C22,Begegnungen!$K$150=C22,Begegnungen!$K$151=C22,Begegnungen!$K$152=C22,Begegnungen!$K$153=C22,Begegnungen!$K$154=C22,Begegnungen!$K$155=C22),Begegnungen!$K$162,""))</f>
        <v/>
      </c>
      <c r="X22" s="66" t="str">
        <f>IF(OR(Begegnungen!$C$165=C22,Begegnungen!$C$166=C22,Begegnungen!$C$167=C22,Begegnungen!$C$168=C22,Begegnungen!$C$169=C22,Begegnungen!$C$170=C22,Begegnungen!$C$171=C22),Begegnungen!$C$178,IF(OR(Begegnungen!$E$165=C22,Begegnungen!$E$166=C22,Begegnungen!$E$167=C22,Begegnungen!$E$168=C22,Begegnungen!$E$169=C22,Begegnungen!$E$170=C22,Begegnungen!$E$171=C22),Begegnungen!$E$178,""))</f>
        <v/>
      </c>
      <c r="Y22" s="66" t="str">
        <f>IF(OR(Begegnungen!$I$165=C22,Begegnungen!$I$166=C22,Begegnungen!$I$167=C22,Begegnungen!$I$168=C22,Begegnungen!$I$169=C22,Begegnungen!$I$170=C22,Begegnungen!$I$171=C22),Begegnungen!$I$178,IF(OR(Begegnungen!$K$165=C22,Begegnungen!$K$166=C22,Begegnungen!$K$167=C22,Begegnungen!$K$168=C22,Begegnungen!$K$169=C22,Begegnungen!$K$170=C22,Begegnungen!$K$171=C22),Begegnungen!$K$178,""))</f>
        <v>0</v>
      </c>
      <c r="Z22" s="66" t="str">
        <f>IF(OR(Begegnungen!$C$181=C22,Begegnungen!$C$182=C22,Begegnungen!$C$183=C22,Begegnungen!$C$184=C22,Begegnungen!$C$185=C22,Begegnungen!$C$186=C22,Begegnungen!$C$187=C22),Begegnungen!$C$194,IF(OR(Begegnungen!$E$181=C22,Begegnungen!$E$182=C22,Begegnungen!$E$183=C22,Begegnungen!$E$184=C22,Begegnungen!$E$185=C22,Begegnungen!$E$186=C22,Begegnungen!$E$187=C22),Begegnungen!$E$194,""))</f>
        <v/>
      </c>
      <c r="AA22" s="66" t="str">
        <f>IF(OR(Begegnungen!$I$181=C22,Begegnungen!$I$182=C22,Begegnungen!$I$183=C22,Begegnungen!$I$184=C22,Begegnungen!$I$185=C22,Begegnungen!$I$186=C22,Begegnungen!$I$187=C22),Begegnungen!$I$194,IF(OR(Begegnungen!$K$181=C22,Begegnungen!$K$182=C22,Begegnungen!$K$183=C22,Begegnungen!$K$184=C22,Begegnungen!$K$185=C22,Begegnungen!$K$186=C22,Begegnungen!$K$187=C22),Begegnungen!$K$194,""))</f>
        <v/>
      </c>
      <c r="AB22" s="66" t="str">
        <f>IF(OR(Begegnungen!$C$197=C22,Begegnungen!$C$198=C22,Begegnungen!$C$199=C22,Begegnungen!$C$200=C22,Begegnungen!$C$201=C22,Begegnungen!$C$202=C22,Begegnungen!$C$203=C22),Begegnungen!$C$210,IF(OR(Begegnungen!$E$197=C22,Begegnungen!$E$198=C22,Begegnungen!$E$199=C22,Begegnungen!$E$200=C22,Begegnungen!$E$201=C22,Begegnungen!$E$202=C22,Begegnungen!$E$203=C22),Begegnungen!$E$210,""))</f>
        <v>3</v>
      </c>
      <c r="AC22" s="66" t="str">
        <f>IF(OR(Begegnungen!$I$197=C22,Begegnungen!$I$198=C22,Begegnungen!$I$199=C22,Begegnungen!$I$200=C22,Begegnungen!$I$201=C22,Begegnungen!$I$202=C22,Begegnungen!$I$203=C22),Begegnungen!$I$210,IF(OR(Begegnungen!$K$197=C22,Begegnungen!$K$198=C22,Begegnungen!$K$199=C22,Begegnungen!$K$200=C22,Begegnungen!$K$201=C22,Begegnungen!$K$202=C22,Begegnungen!$K$203=C22),Begegnungen!$K$210,""))</f>
        <v/>
      </c>
      <c r="AD22" s="66" t="str">
        <f>IF(OR(Begegnungen!$C$213=C22,Begegnungen!$C$214=C22,Begegnungen!$C$215=C22,Begegnungen!$C$216=C22,Begegnungen!$C$217=C22,Begegnungen!$C$218=C22,Begegnungen!$C$219=C22),Begegnungen!$C$226,IF(OR(Begegnungen!$E$213=C22,Begegnungen!$E$214=C22,Begegnungen!$E$215=C22,Begegnungen!$E$216=C22,Begegnungen!$E$217=C22,Begegnungen!$E$218=C22,Begegnungen!$E$219=C22),Begegnungen!$E$226,""))</f>
        <v/>
      </c>
      <c r="AE22" s="66" t="str">
        <f>IF(OR(Begegnungen!$I$213=C22,Begegnungen!$I$214=C22,Begegnungen!$I$215=C22,Begegnungen!$I$216=C22,Begegnungen!$I$217=C22,Begegnungen!$I$218=C22,Begegnungen!$I$219=C22),Begegnungen!$I$226,IF(OR(Begegnungen!$K$213=C22,Begegnungen!$K$214=C22,Begegnungen!$K$215=C22,Begegnungen!$K$216=C22,Begegnungen!$K$217=C22,Begegnungen!$K$218=C22,Begegnungen!$K$219=C22),Begegnungen!$K$226,""))</f>
        <v/>
      </c>
      <c r="AF22" s="136" t="str">
        <f>IF(OR(Begegnungen!$C$229=C22,Begegnungen!$C$230=C22,Begegnungen!$C$231=C22,Begegnungen!$C$232=C22,Begegnungen!$C$233=C22,Begegnungen!$C$234=C22,Begegnungen!$C$235=C22),Begegnungen!$C$242,IF(OR(Begegnungen!$E$229=C22,Begegnungen!$E$230=C22,Begegnungen!$E$231=C22,Begegnungen!$E$232=C22,Begegnungen!$E$233=C22,Begegnungen!$E$234=C22,Begegnungen!$E$235=C22),Begegnungen!$E$242,""))</f>
        <v/>
      </c>
      <c r="AG22" s="66" t="str">
        <f>IF(OR(Begegnungen!$I$229=C22,Begegnungen!$I$230=C22,Begegnungen!$I$231=C22,Begegnungen!$I$232=C22,Begegnungen!$I$233=C22,Begegnungen!$I$234=C22,Begegnungen!$I$235=C22),Begegnungen!$I$242,IF(OR(Begegnungen!$K$229=C22,Begegnungen!$K$230=C22,Begegnungen!$K$231=C22,Begegnungen!$K$232=C22,Begegnungen!$K$233=C22,Begegnungen!$K$234=C22,Begegnungen!$K$235=C22),Begegnungen!$K$242,""))</f>
        <v/>
      </c>
      <c r="AH22" s="66" t="str">
        <f>IF(OR(Begegnungen!$C$245=C22,Begegnungen!$C$246=C22,Begegnungen!$C$247=C22,Begegnungen!$C$248=C22,Begegnungen!$C$249=C22,Begegnungen!$C$250=C22,Begegnungen!$C$251=C22),Begegnungen!$C$258,IF(OR(Begegnungen!$E$245=C22,Begegnungen!$E$246=C22,Begegnungen!$E$247=C22,Begegnungen!$E$248=C22,Begegnungen!$E$249=C22,Begegnungen!$E$250=C22,Begegnungen!$E$251=C22),Begegnungen!$E$258,""))</f>
        <v/>
      </c>
      <c r="AI22" s="66" t="str">
        <f>IF(OR(Begegnungen!$I$245=C22,Begegnungen!$I$246=C22,Begegnungen!$I$247=C22,Begegnungen!$I$248=C22,Begegnungen!$I$249=C22,Begegnungen!$I$250=C22,Begegnungen!$I$251=C22),Begegnungen!$I$258,IF(OR(Begegnungen!$K$245=C22,Begegnungen!$K$246=C22,Begegnungen!$K$247=C22,Begegnungen!$K$248=C22,Begegnungen!$K$249=C22,Begegnungen!$K$250=C22,Begegnungen!$K$251=C22),Begegnungen!$K$258,""))</f>
        <v/>
      </c>
      <c r="AJ22" s="66" t="str">
        <f>IF(OR(Begegnungen!$C$261=C22,Begegnungen!$C$262=C22,Begegnungen!$C$263=C22,Begegnungen!$C$264=C22,Begegnungen!$C$265=C22,Begegnungen!$C$266=C22,Begegnungen!$C$267=C22),Begegnungen!$C$274,IF(OR(Begegnungen!$E$261=C22,Begegnungen!$E$262=C22,Begegnungen!$E$263=C22,Begegnungen!$E$264=C22,Begegnungen!$E$265=C22,Begegnungen!$E$266=C22,Begegnungen!$E$267=C22),Begegnungen!$E$274,""))</f>
        <v/>
      </c>
      <c r="AK22" s="66" t="str">
        <f>IF(OR(Begegnungen!$I$261=C22,Begegnungen!$I$262=C22,Begegnungen!$I$263=C22,Begegnungen!$I$264=C22,Begegnungen!$I$265=C22,Begegnungen!$I$266=C22,Begegnungen!$I$267=C22),Begegnungen!$I$274,IF(OR(Begegnungen!$K$261=C22,Begegnungen!$K$262=C22,Begegnungen!$K$263=C22,Begegnungen!$K$264=C22,Begegnungen!$K$265=C22,Begegnungen!$K$266=C22,Begegnungen!$K$267=C22),Begegnungen!$K$274,""))</f>
        <v>1</v>
      </c>
      <c r="AL22" s="66" t="str">
        <f>IF(OR(Begegnungen!$C$277=C22,Begegnungen!$C$278=C22,Begegnungen!$C$279=C22,Begegnungen!$C$280=C22,Begegnungen!$C$281=C22,Begegnungen!$C$282=C22,Begegnungen!$C$283=C22),Begegnungen!$C$290,IF(OR(Begegnungen!$E$277=C22,Begegnungen!$E$278=C22,Begegnungen!$E$279=C22,Begegnungen!$E$280=C22,Begegnungen!$E$281=C22,Begegnungen!$E$282=C22,Begegnungen!$E$283=C22),Begegnungen!$E$290,""))</f>
        <v>3</v>
      </c>
      <c r="AM22" s="136" t="str">
        <f>IF(OR(Begegnungen!$I$277=C22,Begegnungen!$I$278=C22,Begegnungen!$I$279=C22,Begegnungen!$I$280=C22,Begegnungen!$I$281=C22,Begegnungen!$I$282=C22,Begegnungen!$I$283=C22),Begegnungen!$I$290,IF(OR(Begegnungen!$K$277=C22,Begegnungen!$K$278=C22,Begegnungen!$K$279=C22,Begegnungen!$K$280=C22,Begegnungen!$K$281=C22,Begegnungen!$K$282=C22,Begegnungen!$K$283=C22),Begegnungen!$K$290,""))</f>
        <v/>
      </c>
      <c r="AN22" s="66" t="str">
        <f>IF(OR(Begegnungen!$C$293=C22,Begegnungen!$C$294=C22,Begegnungen!$C$295=C22,Begegnungen!$C$296=C22,Begegnungen!$C$297=C22,Begegnungen!$C$298=C22,Begegnungen!$C$299=C22),Begegnungen!$C$306,IF(OR(Begegnungen!$E$293=C22,Begegnungen!$E$294=C22,Begegnungen!$E$295=C22,Begegnungen!$E$296=C22,Begegnungen!$E$297=C22,Begegnungen!$E$298=C22,Begegnungen!$E$299=C22),Begegnungen!$E$306,""))</f>
        <v/>
      </c>
      <c r="AO22" s="136" t="str">
        <f>IF(OR(Begegnungen!$I$293=C22,Begegnungen!$I$294=C22,Begegnungen!$I$295=C22,Begegnungen!$I$296=C22,Begegnungen!$I$297=C22,Begegnungen!$I$298=C22,Begegnungen!$I$299=C22),Begegnungen!$I$306,IF(OR(Begegnungen!$K$293=C22,Begegnungen!$K$294=C22,Begegnungen!$K$295=C22,Begegnungen!$K$296=C22,Begegnungen!$K$297=C22,Begegnungen!$K$298=C22,Begegnungen!$K$299=C22),Begegnungen!$K$306,""))</f>
        <v/>
      </c>
      <c r="AP22" s="136" t="str">
        <f>IF(OR(Begegnungen!$C$309=C22,Begegnungen!$C$310=C22,Begegnungen!$C$311=C22,Begegnungen!$C$312=C22,Begegnungen!$C$313=C22,Begegnungen!$C$314=C22,Begegnungen!$C$315=C22),Begegnungen!$C$322,IF(OR(Begegnungen!$E$309=C22,Begegnungen!$E$310=C22,Begegnungen!$E$311=C22,Begegnungen!$E$312=C22,Begegnungen!$E$313=C22,Begegnungen!$E$314=C22,Begegnungen!$E$315=C22),Begegnungen!$E$322,""))</f>
        <v>3</v>
      </c>
      <c r="AQ22" s="66" t="str">
        <f>IF(OR(Begegnungen!$I$309=C22,Begegnungen!$I$310=C22,Begegnungen!$I$311=C22,Begegnungen!$I$312=C22,Begegnungen!$I$313=C22,Begegnungen!$I$314=C22,Begegnungen!$I$315=C22),Begegnungen!$I$322,IF(OR(Begegnungen!$K$309=C22,Begegnungen!$K$310=C22,Begegnungen!$K$311=C22,Begegnungen!$K$312=C22,Begegnungen!$K$313=C22,Begegnungen!$K$314=C22,Begegnungen!$K$315=C22),Begegnungen!$K$322,""))</f>
        <v>3</v>
      </c>
      <c r="AR22" s="18">
        <f t="shared" si="2"/>
        <v>17</v>
      </c>
      <c r="AS22" s="19">
        <f t="shared" si="0"/>
        <v>13</v>
      </c>
      <c r="AT22" s="20">
        <f t="shared" si="1"/>
        <v>0.65</v>
      </c>
      <c r="AU22" s="21">
        <f t="shared" si="3"/>
        <v>1.9576923076923078</v>
      </c>
      <c r="AW22" s="70">
        <f t="shared" si="4"/>
        <v>5</v>
      </c>
      <c r="AX22" s="30">
        <f t="shared" si="5"/>
        <v>2</v>
      </c>
      <c r="AY22" s="71">
        <f t="shared" si="6"/>
        <v>6</v>
      </c>
    </row>
    <row r="23" spans="2:51" x14ac:dyDescent="0.25">
      <c r="B23" s="3">
        <v>18</v>
      </c>
      <c r="C23" s="65" t="s">
        <v>56</v>
      </c>
      <c r="D23" s="66" t="str">
        <f>IF(OR(Begegnungen!$C$3=C23,Begegnungen!$C$4=C23,Begegnungen!$C$5=C23,Begegnungen!$C$6=C23,Begegnungen!$C$7=C23,Begegnungen!$C$8=C23,Begegnungen!$C$9=C23),Begegnungen!$C$16,IF(OR(Begegnungen!$E$3=C23,Begegnungen!$E$4=C23,Begegnungen!$E$5=C23,Begegnungen!$E$6=C23,Begegnungen!$E$7=C23,Begegnungen!$E$8=C23,Begegnungen!$E$9=C23),Begegnungen!$E$16,""))</f>
        <v>1</v>
      </c>
      <c r="E23" s="66" t="str">
        <f>IF(OR(Begegnungen!$I$3=C23,Begegnungen!$I$4=C23,Begegnungen!$I$5=C23,Begegnungen!$I$6=C23,Begegnungen!$I$7=C23,Begegnungen!$I$8=C23,Begegnungen!$I$9=C23),Begegnungen!$I$16,IF(OR(Begegnungen!$K$3=C23,Begegnungen!$K$4=C23,Begegnungen!$K$5=C23,Begegnungen!$K$6=C23,Begegnungen!$K$7=C23,Begegnungen!$K$8=C23,Begegnungen!$K$9=C23),Begegnungen!$K$16,""))</f>
        <v>0</v>
      </c>
      <c r="F23" s="66" t="str">
        <f>IF(OR(Begegnungen!$C$19=C23,Begegnungen!$C$20=C23,Begegnungen!$C$21=C23,Begegnungen!$C$22=C23,Begegnungen!$C$23=C23,Begegnungen!$C$24=C23,Begegnungen!$C$25=C23),Begegnungen!$C$32,IF(OR(Begegnungen!$E$19=C23,Begegnungen!$E$20=C23,Begegnungen!$E$21=C23,Begegnungen!$E$22=C23,Begegnungen!$E$23=C23,Begegnungen!$E$24=C23,Begegnungen!$E$25=C23),Begegnungen!$E$32,""))</f>
        <v>3</v>
      </c>
      <c r="G23" s="66" t="str">
        <f>IF(OR(Begegnungen!$I$19=C23,Begegnungen!$I$20=C23,Begegnungen!$I$21=C23,Begegnungen!$I$22=C23,Begegnungen!$I$23=C23,Begegnungen!$I$24=C23,Begegnungen!$I$25=C23),Begegnungen!$I$32,IF(OR(Begegnungen!$K$19=C23,Begegnungen!$K$20=C23,Begegnungen!$K$21=C23,Begegnungen!$K$22=C23,Begegnungen!$K$23=C23,Begegnungen!$K$24=C23,Begegnungen!$K$25=C23),Begegnungen!$K$32,""))</f>
        <v>3</v>
      </c>
      <c r="H23" s="66" t="str">
        <f>IF(OR(Begegnungen!$C$35=C23,Begegnungen!$C$36=C23,Begegnungen!$C$37=C23,Begegnungen!$C$38=C23,Begegnungen!$C$39=C23,Begegnungen!$C$40=C23,Begegnungen!$C$41=C23),Begegnungen!$C$49,IF(OR(Begegnungen!$E$35=C23,Begegnungen!$E$36=C23,Begegnungen!$E$37=C23,Begegnungen!$E$38=C23,Begegnungen!$E$39=C23,Begegnungen!$E$40=C23,Begegnungen!$E$41=C23),Begegnungen!$E$49,""))</f>
        <v/>
      </c>
      <c r="I23" s="66" t="str">
        <f>IF(OR(Begegnungen!$I$35=C23,Begegnungen!$I$36=C23,Begegnungen!$I$37=C23,Begegnungen!$I$38=C23,Begegnungen!$I$39=C23,Begegnungen!$I$40=C23,Begegnungen!$I$41=C23),Begegnungen!$I$49,IF(OR(Begegnungen!$K$35=C23,Begegnungen!$K$36=C23,Begegnungen!$K$37=C23,Begegnungen!$K$38=C23,Begegnungen!$K$39=C23,Begegnungen!$K$40=C23,Begegnungen!$K$41=C23),Begegnungen!$K$49,""))</f>
        <v>1</v>
      </c>
      <c r="J23" s="66" t="str">
        <f>IF(OR(Begegnungen!$C$52=C23,Begegnungen!$C$53=C23,Begegnungen!$C$54=C23,Begegnungen!$C$55=C23,Begegnungen!$C$56=C23,Begegnungen!$C$57=C23,Begegnungen!$C$58=C23),Begegnungen!$C$65,IF(OR(Begegnungen!$E$52=C23,Begegnungen!$E$53=C23,Begegnungen!$E$54=C23,Begegnungen!$E$55=C23,Begegnungen!$E$56=C23,Begegnungen!$E$57=C23,Begegnungen!$E$58=C23),Begegnungen!$E$65,""))</f>
        <v>0</v>
      </c>
      <c r="K23" s="66" t="str">
        <f>IF(OR(Begegnungen!$I$52=C23,Begegnungen!$I$53=C23,Begegnungen!$I$54=C23,Begegnungen!$I$55=C23,Begegnungen!$I$56=C23,Begegnungen!$I$57=C23,Begegnungen!$I$58=C23),Begegnungen!$I$65,IF(OR(Begegnungen!$K$52=C23,Begegnungen!$K$53=C23,Begegnungen!$K$54=C23,Begegnungen!$K$55=C23,Begegnungen!$K$56=C23,Begegnungen!$K$57=C23,Begegnungen!$K$58=C23),Begegnungen!$K$65,""))</f>
        <v>3</v>
      </c>
      <c r="L23" s="136" t="str">
        <f>IF(OR(Begegnungen!$C$68=C23,Begegnungen!$C$69=C23,Begegnungen!$C$70=C23,Begegnungen!$C$71=C23,Begegnungen!$C$72=C23,Begegnungen!$C$73=C23,Begegnungen!$C$74=C23),Begegnungen!$C$81,IF(OR(Begegnungen!$E$68=C23,Begegnungen!$E$69=C23,Begegnungen!$E$70=C23,Begegnungen!$E$71=C23,Begegnungen!$E$72=C23,Begegnungen!$E$73=C23,Begegnungen!$E$74=C23),Begegnungen!$E$81,""))</f>
        <v/>
      </c>
      <c r="M23" s="66" t="str">
        <f>IF(OR(Begegnungen!$I$68=C23,Begegnungen!$I$69=C23,Begegnungen!$I$70=C23,Begegnungen!$I$71=C23,Begegnungen!$I$72=C23,Begegnungen!$I$73=C23,Begegnungen!$I$74=C23),Begegnungen!$I$81,IF(OR(Begegnungen!$K$68=C23,Begegnungen!$K$69=C23,Begegnungen!$K$70=C23,Begegnungen!$K$71=C23,Begegnungen!$K$72=C23,Begegnungen!$K$73=C23,Begegnungen!$K$74=C23),Begegnungen!$K$81,""))</f>
        <v>0</v>
      </c>
      <c r="N23" s="66" t="str">
        <f>IF(OR(Begegnungen!$C$84=C23,Begegnungen!$C$85=C23,Begegnungen!$C$86=C23,Begegnungen!$C$87=C23,Begegnungen!$C$88=C23,Begegnungen!$C$89=C23,Begegnungen!$C$90=C23),Begegnungen!$C$98,IF(OR(Begegnungen!$E$84=C23,Begegnungen!$E$85=C23,Begegnungen!$E$86=C23,Begegnungen!$E$87=C23,Begegnungen!$E$88=C23,Begegnungen!$E$89=C23,Begegnungen!$E$90=C23),Begegnungen!$E$98,""))</f>
        <v/>
      </c>
      <c r="O23" s="66" t="str">
        <f>IF(OR(Begegnungen!$I$84=C23,Begegnungen!$I$85=C23,Begegnungen!$I$86=C23,Begegnungen!$I$87=C23,Begegnungen!$I$88=C23,Begegnungen!$I$89=C23,Begegnungen!$I$90=C23,Begegnungen!$I$91=C23),Begegnungen!$I$98,IF(OR(Begegnungen!$K$84=C23,Begegnungen!$K$85=C23,Begegnungen!$K$86=C23,Begegnungen!$K$87=C23,Begegnungen!$K$88=C23,Begegnungen!$K$89=C23,Begegnungen!$K$90=C23,Begegnungen!$K$91=C23),Begegnungen!$K$98,""))</f>
        <v/>
      </c>
      <c r="P23" s="66" t="str">
        <f>IF(OR(Begegnungen!$C$101=C23,Begegnungen!$C$102=C23,Begegnungen!$C$103=C23,Begegnungen!$C$104=C23,Begegnungen!$C$105=C23,Begegnungen!$C$106=C23,Begegnungen!$C$107=C23),Begegnungen!$C$114,IF(OR(Begegnungen!$E$101=C23,Begegnungen!$E$102=C23,Begegnungen!$E$103=C23,Begegnungen!$E$104=C23,Begegnungen!$E$105=C23,Begegnungen!$E$106=C23,Begegnungen!$E$107=C23),Begegnungen!$E$114,""))</f>
        <v/>
      </c>
      <c r="Q23" s="66" t="str">
        <f>IF(OR(Begegnungen!$I$101=C23,Begegnungen!$I$102=C23,Begegnungen!$I$103=C23,Begegnungen!$I$104=C23,Begegnungen!$I$105=C23,Begegnungen!$I$106=C23,Begegnungen!$I$107=C23),Begegnungen!$I$114,IF(OR(Begegnungen!$K$101=C23,Begegnungen!$K$102=C23,Begegnungen!$K$103=C23,Begegnungen!$K$104=C23,Begegnungen!$K$105=C23,Begegnungen!$K$106=C23,Begegnungen!$K$107=C23),Begegnungen!$K$114,""))</f>
        <v/>
      </c>
      <c r="R23" s="136" t="str">
        <f>IF(OR(Begegnungen!$C$117=C23,Begegnungen!$C$118=C23,Begegnungen!$C$119=C23,Begegnungen!$C$120=C23,Begegnungen!$C$121=C23,Begegnungen!$C$122=C23,Begegnungen!$C$123=C23),Begegnungen!$C$130,IF(OR(Begegnungen!$E$117=C23,Begegnungen!$E$118=C23,Begegnungen!$E$119=C23,Begegnungen!$E$120=C23,Begegnungen!$E$121=C23,Begegnungen!$E$122=C23,Begegnungen!$E$123=C23),Begegnungen!$E$130,""))</f>
        <v/>
      </c>
      <c r="S23" s="66" t="str">
        <f>IF(OR(Begegnungen!$I$117=C23,Begegnungen!$I$118=C23,Begegnungen!$I$119=C23,Begegnungen!$I$120=C23,Begegnungen!$I$121=C23,Begegnungen!$I$122=C23,Begegnungen!$I$123=C23),Begegnungen!$I$130,IF(OR(Begegnungen!$K$117=C23,Begegnungen!$K$118=C23,Begegnungen!$K$119=C23,Begegnungen!$K$120=C23,Begegnungen!$K$121=C23,Begegnungen!$K$122=C23,Begegnungen!$K$123=C23),Begegnungen!$K$130,""))</f>
        <v/>
      </c>
      <c r="T23" s="66" t="str">
        <f>IF(OR(Begegnungen!$C$133=C23,Begegnungen!$C$134=C23,Begegnungen!$C$135=C23,Begegnungen!$C$136=C23,Begegnungen!$C$137=C23,Begegnungen!$C$138=C23,Begegnungen!$C$139=C23),Begegnungen!$C$146,IF(OR(Begegnungen!$E$133=C23,Begegnungen!$E$134=C23,Begegnungen!$E$135=C23,Begegnungen!$E$136=C23,Begegnungen!$E$137=C23,Begegnungen!$E$138=C23,Begegnungen!$E$139=C23),Begegnungen!$E$146,""))</f>
        <v/>
      </c>
      <c r="U23" s="66" t="str">
        <f>IF(OR(Begegnungen!$I$133=C23,Begegnungen!$I$134=C23,Begegnungen!$I$135=C23,Begegnungen!$I$136=C23,Begegnungen!$I$137=C23,Begegnungen!$I$138=C23,Begegnungen!$I$139=C23),Begegnungen!$I$146,IF(OR(Begegnungen!$K$133=C23,Begegnungen!$K$134=C23,Begegnungen!$K$135=C23,Begegnungen!$K$136=C23,Begegnungen!$K$137=C23,Begegnungen!$K$138=C23,Begegnungen!$K$139=C23),Begegnungen!$K$146,""))</f>
        <v/>
      </c>
      <c r="V23" s="66" t="str">
        <f>IF(OR(Begegnungen!$C$149=C23,Begegnungen!$C$150=C23,Begegnungen!$C$151=C23,Begegnungen!$C$152=C23,Begegnungen!$C$153=C23,Begegnungen!$C$154=C23,Begegnungen!$C$155=C23),Begegnungen!$C$162,IF(OR(Begegnungen!$E$149=C23,Begegnungen!$E$150=C23,Begegnungen!$E$151=C23,Begegnungen!$E$152=C23,Begegnungen!$E$153=C23,Begegnungen!$E$154=C23,Begegnungen!$E$155=C23),Begegnungen!$E$162,""))</f>
        <v/>
      </c>
      <c r="W23" s="66" t="str">
        <f>IF(OR(Begegnungen!$I$149=C23,Begegnungen!$I$150=C23,Begegnungen!$I$151=C23,Begegnungen!$I$152=C23,Begegnungen!$I$153=C23,Begegnungen!$I$154=C23,Begegnungen!$I$155=C23),Begegnungen!$I$162,IF(OR(Begegnungen!$K$149=C23,Begegnungen!$K$150=C23,Begegnungen!$K$151=C23,Begegnungen!$K$152=C23,Begegnungen!$K$153=C23,Begegnungen!$K$154=C23,Begegnungen!$K$155=C23),Begegnungen!$K$162,""))</f>
        <v/>
      </c>
      <c r="X23" s="66" t="str">
        <f>IF(OR(Begegnungen!$C$165=C23,Begegnungen!$C$166=C23,Begegnungen!$C$167=C23,Begegnungen!$C$168=C23,Begegnungen!$C$169=C23,Begegnungen!$C$170=C23,Begegnungen!$C$171=C23),Begegnungen!$C$178,IF(OR(Begegnungen!$E$165=C23,Begegnungen!$E$166=C23,Begegnungen!$E$167=C23,Begegnungen!$E$168=C23,Begegnungen!$E$169=C23,Begegnungen!$E$170=C23,Begegnungen!$E$171=C23),Begegnungen!$E$178,""))</f>
        <v/>
      </c>
      <c r="Y23" s="66" t="str">
        <f>IF(OR(Begegnungen!$I$165=C23,Begegnungen!$I$166=C23,Begegnungen!$I$167=C23,Begegnungen!$I$168=C23,Begegnungen!$I$169=C23,Begegnungen!$I$170=C23,Begegnungen!$I$171=C23),Begegnungen!$I$178,IF(OR(Begegnungen!$K$165=C23,Begegnungen!$K$166=C23,Begegnungen!$K$167=C23,Begegnungen!$K$168=C23,Begegnungen!$K$169=C23,Begegnungen!$K$170=C23,Begegnungen!$K$171=C23),Begegnungen!$K$178,""))</f>
        <v/>
      </c>
      <c r="Z23" s="66" t="str">
        <f>IF(OR(Begegnungen!$C$181=C23,Begegnungen!$C$182=C23,Begegnungen!$C$183=C23,Begegnungen!$C$184=C23,Begegnungen!$C$185=C23,Begegnungen!$C$186=C23,Begegnungen!$C$187=C23),Begegnungen!$C$194,IF(OR(Begegnungen!$E$181=C23,Begegnungen!$E$182=C23,Begegnungen!$E$183=C23,Begegnungen!$E$184=C23,Begegnungen!$E$185=C23,Begegnungen!$E$186=C23,Begegnungen!$E$187=C23),Begegnungen!$E$194,""))</f>
        <v/>
      </c>
      <c r="AA23" s="66" t="str">
        <f>IF(OR(Begegnungen!$I$181=C23,Begegnungen!$I$182=C23,Begegnungen!$I$183=C23,Begegnungen!$I$184=C23,Begegnungen!$I$185=C23,Begegnungen!$I$186=C23,Begegnungen!$I$187=C23),Begegnungen!$I$194,IF(OR(Begegnungen!$K$181=C23,Begegnungen!$K$182=C23,Begegnungen!$K$183=C23,Begegnungen!$K$184=C23,Begegnungen!$K$185=C23,Begegnungen!$K$186=C23,Begegnungen!$K$187=C23),Begegnungen!$K$194,""))</f>
        <v/>
      </c>
      <c r="AB23" s="66" t="str">
        <f>IF(OR(Begegnungen!$C$197=C23,Begegnungen!$C$198=C23,Begegnungen!$C$199=C23,Begegnungen!$C$200=C23,Begegnungen!$C$201=C23,Begegnungen!$C$202=C23,Begegnungen!$C$203=C23),Begegnungen!$C$210,IF(OR(Begegnungen!$E$197=C23,Begegnungen!$E$198=C23,Begegnungen!$E$199=C23,Begegnungen!$E$200=C23,Begegnungen!$E$201=C23,Begegnungen!$E$202=C23,Begegnungen!$E$203=C23),Begegnungen!$E$210,""))</f>
        <v/>
      </c>
      <c r="AC23" s="66" t="str">
        <f>IF(OR(Begegnungen!$I$197=C23,Begegnungen!$I$198=C23,Begegnungen!$I$199=C23,Begegnungen!$I$200=C23,Begegnungen!$I$201=C23,Begegnungen!$I$202=C23,Begegnungen!$I$203=C23),Begegnungen!$I$210,IF(OR(Begegnungen!$K$197=C23,Begegnungen!$K$198=C23,Begegnungen!$K$199=C23,Begegnungen!$K$200=C23,Begegnungen!$K$201=C23,Begegnungen!$K$202=C23,Begegnungen!$K$203=C23),Begegnungen!$K$210,""))</f>
        <v/>
      </c>
      <c r="AD23" s="66" t="str">
        <f>IF(OR(Begegnungen!$C$213=C23,Begegnungen!$C$214=C23,Begegnungen!$C$215=C23,Begegnungen!$C$216=C23,Begegnungen!$C$217=C23,Begegnungen!$C$218=C23,Begegnungen!$C$219=C23),Begegnungen!$C$226,IF(OR(Begegnungen!$E$213=C23,Begegnungen!$E$214=C23,Begegnungen!$E$215=C23,Begegnungen!$E$216=C23,Begegnungen!$E$217=C23,Begegnungen!$E$218=C23,Begegnungen!$E$219=C23),Begegnungen!$E$226,""))</f>
        <v/>
      </c>
      <c r="AE23" s="66" t="str">
        <f>IF(OR(Begegnungen!$I$213=C23,Begegnungen!$I$214=C23,Begegnungen!$I$215=C23,Begegnungen!$I$216=C23,Begegnungen!$I$217=C23,Begegnungen!$I$218=C23,Begegnungen!$I$219=C23),Begegnungen!$I$226,IF(OR(Begegnungen!$K$213=C23,Begegnungen!$K$214=C23,Begegnungen!$K$215=C23,Begegnungen!$K$216=C23,Begegnungen!$K$217=C23,Begegnungen!$K$218=C23,Begegnungen!$K$219=C23),Begegnungen!$K$226,""))</f>
        <v/>
      </c>
      <c r="AF23" s="136" t="str">
        <f>IF(OR(Begegnungen!$C$229=C23,Begegnungen!$C$230=C23,Begegnungen!$C$231=C23,Begegnungen!$C$232=C23,Begegnungen!$C$233=C23,Begegnungen!$C$234=C23,Begegnungen!$C$235=C23),Begegnungen!$C$242,IF(OR(Begegnungen!$E$229=C23,Begegnungen!$E$230=C23,Begegnungen!$E$231=C23,Begegnungen!$E$232=C23,Begegnungen!$E$233=C23,Begegnungen!$E$234=C23,Begegnungen!$E$235=C23),Begegnungen!$E$242,""))</f>
        <v/>
      </c>
      <c r="AG23" s="66" t="str">
        <f>IF(OR(Begegnungen!$I$229=C23,Begegnungen!$I$230=C23,Begegnungen!$I$231=C23,Begegnungen!$I$232=C23,Begegnungen!$I$233=C23,Begegnungen!$I$234=C23,Begegnungen!$I$235=C23),Begegnungen!$I$242,IF(OR(Begegnungen!$K$229=C23,Begegnungen!$K$230=C23,Begegnungen!$K$231=C23,Begegnungen!$K$232=C23,Begegnungen!$K$233=C23,Begegnungen!$K$234=C23,Begegnungen!$K$235=C23),Begegnungen!$K$242,""))</f>
        <v/>
      </c>
      <c r="AH23" s="66" t="str">
        <f>IF(OR(Begegnungen!$C$245=C23,Begegnungen!$C$246=C23,Begegnungen!$C$247=C23,Begegnungen!$C$248=C23,Begegnungen!$C$249=C23,Begegnungen!$C$250=C23,Begegnungen!$C$251=C23),Begegnungen!$C$258,IF(OR(Begegnungen!$E$245=C23,Begegnungen!$E$246=C23,Begegnungen!$E$247=C23,Begegnungen!$E$248=C23,Begegnungen!$E$249=C23,Begegnungen!$E$250=C23,Begegnungen!$E$251=C23),Begegnungen!$E$258,""))</f>
        <v/>
      </c>
      <c r="AI23" s="66" t="str">
        <f>IF(OR(Begegnungen!$I$245=C23,Begegnungen!$I$246=C23,Begegnungen!$I$247=C23,Begegnungen!$I$248=C23,Begegnungen!$I$249=C23,Begegnungen!$I$250=C23,Begegnungen!$I$251=C23),Begegnungen!$I$258,IF(OR(Begegnungen!$K$245=C23,Begegnungen!$K$246=C23,Begegnungen!$K$247=C23,Begegnungen!$K$248=C23,Begegnungen!$K$249=C23,Begegnungen!$K$250=C23,Begegnungen!$K$251=C23),Begegnungen!$K$258,""))</f>
        <v/>
      </c>
      <c r="AJ23" s="66" t="str">
        <f>IF(OR(Begegnungen!$C$261=C23,Begegnungen!$C$262=C23,Begegnungen!$C$263=C23,Begegnungen!$C$264=C23,Begegnungen!$C$265=C23,Begegnungen!$C$266=C23,Begegnungen!$C$267=C23),Begegnungen!$C$274,IF(OR(Begegnungen!$E$261=C23,Begegnungen!$E$262=C23,Begegnungen!$E$263=C23,Begegnungen!$E$264=C23,Begegnungen!$E$265=C23,Begegnungen!$E$266=C23,Begegnungen!$E$267=C23),Begegnungen!$E$274,""))</f>
        <v>0</v>
      </c>
      <c r="AK23" s="66" t="str">
        <f>IF(OR(Begegnungen!$I$261=C23,Begegnungen!$I$262=C23,Begegnungen!$I$263=C23,Begegnungen!$I$264=C23,Begegnungen!$I$265=C23,Begegnungen!$I$266=C23,Begegnungen!$I$267=C23),Begegnungen!$I$274,IF(OR(Begegnungen!$K$261=C23,Begegnungen!$K$262=C23,Begegnungen!$K$263=C23,Begegnungen!$K$264=C23,Begegnungen!$K$265=C23,Begegnungen!$K$266=C23,Begegnungen!$K$267=C23),Begegnungen!$K$274,""))</f>
        <v>1</v>
      </c>
      <c r="AL23" s="66" t="str">
        <f>IF(OR(Begegnungen!$C$277=C23,Begegnungen!$C$278=C23,Begegnungen!$C$279=C23,Begegnungen!$C$280=C23,Begegnungen!$C$281=C23,Begegnungen!$C$282=C23,Begegnungen!$C$283=C23),Begegnungen!$C$290,IF(OR(Begegnungen!$E$277=C23,Begegnungen!$E$278=C23,Begegnungen!$E$279=C23,Begegnungen!$E$280=C23,Begegnungen!$E$281=C23,Begegnungen!$E$282=C23,Begegnungen!$E$283=C23),Begegnungen!$E$290,""))</f>
        <v>3</v>
      </c>
      <c r="AM23" s="136" t="str">
        <f>IF(OR(Begegnungen!$I$277=C23,Begegnungen!$I$278=C23,Begegnungen!$I$279=C23,Begegnungen!$I$280=C23,Begegnungen!$I$281=C23,Begegnungen!$I$282=C23,Begegnungen!$I$283=C23),Begegnungen!$I$290,IF(OR(Begegnungen!$K$277=C23,Begegnungen!$K$278=C23,Begegnungen!$K$279=C23,Begegnungen!$K$280=C23,Begegnungen!$K$281=C23,Begegnungen!$K$282=C23,Begegnungen!$K$283=C23),Begegnungen!$K$290,""))</f>
        <v>3</v>
      </c>
      <c r="AN23" s="66" t="str">
        <f>IF(OR(Begegnungen!$C$293=C23,Begegnungen!$C$294=C23,Begegnungen!$C$295=C23,Begegnungen!$C$296=C23,Begegnungen!$C$297=C23,Begegnungen!$C$298=C23,Begegnungen!$C$299=C23),Begegnungen!$C$306,IF(OR(Begegnungen!$E$293=C23,Begegnungen!$E$294=C23,Begegnungen!$E$295=C23,Begegnungen!$E$296=C23,Begegnungen!$E$297=C23,Begegnungen!$E$298=C23,Begegnungen!$E$299=C23),Begegnungen!$E$306,""))</f>
        <v>3</v>
      </c>
      <c r="AO23" s="136" t="str">
        <f>IF(OR(Begegnungen!$I$293=C23,Begegnungen!$I$294=C23,Begegnungen!$I$295=C23,Begegnungen!$I$296=C23,Begegnungen!$I$297=C23,Begegnungen!$I$298=C23,Begegnungen!$I$299=C23),Begegnungen!$I$306,IF(OR(Begegnungen!$K$293=C23,Begegnungen!$K$294=C23,Begegnungen!$K$295=C23,Begegnungen!$K$296=C23,Begegnungen!$K$297=C23,Begegnungen!$K$298=C23,Begegnungen!$K$299=C23),Begegnungen!$K$306,""))</f>
        <v>3</v>
      </c>
      <c r="AP23" s="136" t="str">
        <f>IF(OR(Begegnungen!$C$309=C23,Begegnungen!$C$310=C23,Begegnungen!$C$311=C23,Begegnungen!$C$312=C23,Begegnungen!$C$313=C23,Begegnungen!$C$314=C23,Begegnungen!$C$315=C23),Begegnungen!$C$322,IF(OR(Begegnungen!$E$309=C23,Begegnungen!$E$310=C23,Begegnungen!$E$311=C23,Begegnungen!$E$312=C23,Begegnungen!$E$313=C23,Begegnungen!$E$314=C23,Begegnungen!$E$315=C23),Begegnungen!$E$322,""))</f>
        <v>0</v>
      </c>
      <c r="AQ23" s="66" t="str">
        <f>IF(OR(Begegnungen!$I$309=C23,Begegnungen!$I$310=C23,Begegnungen!$I$311=C23,Begegnungen!$I$312=C23,Begegnungen!$I$313=C23,Begegnungen!$I$314=C23,Begegnungen!$I$315=C23),Begegnungen!$I$322,IF(OR(Begegnungen!$K$309=C23,Begegnungen!$K$310=C23,Begegnungen!$K$311=C23,Begegnungen!$K$312=C23,Begegnungen!$K$313=C23,Begegnungen!$K$314=C23,Begegnungen!$K$315=C23),Begegnungen!$K$322,""))</f>
        <v>3</v>
      </c>
      <c r="AR23" s="18">
        <f>AW23*3+AX23</f>
        <v>27</v>
      </c>
      <c r="AS23" s="19">
        <f t="shared" si="0"/>
        <v>16</v>
      </c>
      <c r="AT23" s="20">
        <f t="shared" si="1"/>
        <v>0.8</v>
      </c>
      <c r="AU23" s="21">
        <f t="shared" si="3"/>
        <v>2.4874999999999998</v>
      </c>
      <c r="AW23" s="70">
        <f t="shared" si="4"/>
        <v>8</v>
      </c>
      <c r="AX23" s="30">
        <f t="shared" si="5"/>
        <v>3</v>
      </c>
      <c r="AY23" s="71">
        <f t="shared" si="6"/>
        <v>5</v>
      </c>
    </row>
    <row r="24" spans="2:51" ht="15.75" thickBot="1" x14ac:dyDescent="0.3">
      <c r="B24" s="7">
        <v>19</v>
      </c>
      <c r="C24" s="180" t="s">
        <v>119</v>
      </c>
      <c r="D24" s="256" t="str">
        <f>IF(OR(Begegnungen!$C$3=C24,Begegnungen!$C$4=C24,Begegnungen!$C$5=C24,Begegnungen!$C$6=C24,Begegnungen!$C$7=C24,Begegnungen!$C$8=C24,Begegnungen!$C$9=C24),Begegnungen!$C$16,IF(OR(Begegnungen!$E$3=C24,Begegnungen!$E$4=C24,Begegnungen!$E$5=C24,Begegnungen!$E$6=C24,Begegnungen!$E$7=C24,Begegnungen!$E$8=C24,Begegnungen!$E$9=C24),Begegnungen!$E$16,""))</f>
        <v>1</v>
      </c>
      <c r="E24" s="256" t="str">
        <f>IF(OR(Begegnungen!$I$3=C24,Begegnungen!$I$4=C24,Begegnungen!$I$5=C24,Begegnungen!$I$6=C24,Begegnungen!$I$7=C24,Begegnungen!$I$8=C24,Begegnungen!$I$9=C24),Begegnungen!$I$16,IF(OR(Begegnungen!$K$3=C24,Begegnungen!$K$4=C24,Begegnungen!$K$5=C24,Begegnungen!$K$6=C24,Begegnungen!$K$7=C24,Begegnungen!$K$8=C24,Begegnungen!$K$9=C24),Begegnungen!$K$16,""))</f>
        <v>0</v>
      </c>
      <c r="F24" s="256" t="str">
        <f>IF(OR(Begegnungen!$C$19=C24,Begegnungen!$C$20=C24,Begegnungen!$C$21=C24,Begegnungen!$C$22=C24,Begegnungen!$C$23=C24,Begegnungen!$C$24=C24,Begegnungen!$C$25=C24),Begegnungen!$C$32,IF(OR(Begegnungen!$E$19=C24,Begegnungen!$E$20=C24,Begegnungen!$E$21=C24,Begegnungen!$E$22=C24,Begegnungen!$E$23=C24,Begegnungen!$E$24=C24,Begegnungen!$E$25=C24),Begegnungen!$E$32,""))</f>
        <v>3</v>
      </c>
      <c r="G24" s="256" t="str">
        <f>IF(OR(Begegnungen!$I$19=C24,Begegnungen!$I$20=C24,Begegnungen!$I$21=C24,Begegnungen!$I$22=C24,Begegnungen!$I$23=C24,Begegnungen!$I$24=C24,Begegnungen!$I$25=C24),Begegnungen!$I$32,IF(OR(Begegnungen!$K$19=C24,Begegnungen!$K$20=C24,Begegnungen!$K$21=C24,Begegnungen!$K$22=C24,Begegnungen!$K$23=C24,Begegnungen!$K$24=C24,Begegnungen!$K$25=C24),Begegnungen!$K$32,""))</f>
        <v>0</v>
      </c>
      <c r="H24" s="256" t="str">
        <f>IF(OR(Begegnungen!$C$35=C24,Begegnungen!$C$36=C24,Begegnungen!$C$37=C24,Begegnungen!$C$38=C24,Begegnungen!$C$39=C24,Begegnungen!$C$40=C24,Begegnungen!$C$41=C24),Begegnungen!$C$49,IF(OR(Begegnungen!$E$35=C24,Begegnungen!$E$36=C24,Begegnungen!$E$37=C24,Begegnungen!$E$38=C24,Begegnungen!$E$39=C24,Begegnungen!$E$40=C24,Begegnungen!$E$41=C24),Begegnungen!$E$49,""))</f>
        <v>0</v>
      </c>
      <c r="I24" s="256" t="str">
        <f>IF(OR(Begegnungen!$I$35=C24,Begegnungen!$I$36=C24,Begegnungen!$I$37=C24,Begegnungen!$I$38=C24,Begegnungen!$I$39=C24,Begegnungen!$I$40=C24,Begegnungen!$I$41=C24),Begegnungen!$I$49,IF(OR(Begegnungen!$K$35=C24,Begegnungen!$K$36=C24,Begegnungen!$K$37=C24,Begegnungen!$K$38=C24,Begegnungen!$K$39=C24,Begegnungen!$K$40=C24,Begegnungen!$K$41=C24),Begegnungen!$K$49,""))</f>
        <v/>
      </c>
      <c r="J24" s="256" t="str">
        <f>IF(OR(Begegnungen!$C$52=C24,Begegnungen!$C$53=C24,Begegnungen!$C$54=C24,Begegnungen!$C$55=C24,Begegnungen!$C$56=C24,Begegnungen!$C$57=C24,Begegnungen!$C$58=C24),Begegnungen!$C$65,IF(OR(Begegnungen!$E$52=C24,Begegnungen!$E$53=C24,Begegnungen!$E$54=C24,Begegnungen!$E$55=C24,Begegnungen!$E$56=C24,Begegnungen!$E$57=C24,Begegnungen!$E$58=C24),Begegnungen!$E$65,""))</f>
        <v>3</v>
      </c>
      <c r="K24" s="256" t="str">
        <f>IF(OR(Begegnungen!$I$52=C24,Begegnungen!$I$53=C24,Begegnungen!$I$54=C24,Begegnungen!$I$55=C24,Begegnungen!$I$56=C24,Begegnungen!$I$57=C24,Begegnungen!$I$58=C24),Begegnungen!$I$65,IF(OR(Begegnungen!$K$52=C24,Begegnungen!$K$53=C24,Begegnungen!$K$54=C24,Begegnungen!$K$55=C24,Begegnungen!$K$56=C24,Begegnungen!$K$57=C24,Begegnungen!$K$58=C24),Begegnungen!$K$65,""))</f>
        <v>0</v>
      </c>
      <c r="L24" s="136" t="str">
        <f>IF(OR(Begegnungen!$C$68=C24,Begegnungen!$C$69=C24,Begegnungen!$C$70=C24,Begegnungen!$C$71=C24,Begegnungen!$C$72=C24,Begegnungen!$C$73=C24,Begegnungen!$C$74=C24),Begegnungen!$C$81,IF(OR(Begegnungen!$E$68=C24,Begegnungen!$E$69=C24,Begegnungen!$E$70=C24,Begegnungen!$E$71=C24,Begegnungen!$E$72=C24,Begegnungen!$E$73=C24,Begegnungen!$E$74=C24),Begegnungen!$E$81,""))</f>
        <v/>
      </c>
      <c r="M24" s="256" t="str">
        <f>IF(OR(Begegnungen!$I$68=C24,Begegnungen!$I$69=C24,Begegnungen!$I$70=C24,Begegnungen!$I$71=C24,Begegnungen!$I$72=C24,Begegnungen!$I$73=C24,Begegnungen!$I$74=C24),Begegnungen!$I$81,IF(OR(Begegnungen!$K$68=C24,Begegnungen!$K$69=C24,Begegnungen!$K$70=C24,Begegnungen!$K$71=C24,Begegnungen!$K$72=C24,Begegnungen!$K$73=C24,Begegnungen!$K$74=C24),Begegnungen!$K$81,""))</f>
        <v>0</v>
      </c>
      <c r="N24" s="256" t="str">
        <f>IF(OR(Begegnungen!$C$84=C24,Begegnungen!$C$85=C24,Begegnungen!$C$86=C24,Begegnungen!$C$87=C24,Begegnungen!$C$88=C24,Begegnungen!$C$89=C24,Begegnungen!$C$90=C24),Begegnungen!$C$98,IF(OR(Begegnungen!$E$84=C24,Begegnungen!$E$85=C24,Begegnungen!$E$86=C24,Begegnungen!$E$87=C24,Begegnungen!$E$88=C24,Begegnungen!$E$89=C24,Begegnungen!$E$90=C24),Begegnungen!$E$98,""))</f>
        <v>3</v>
      </c>
      <c r="O24" s="256" t="str">
        <f>IF(OR(Begegnungen!$I$84=C24,Begegnungen!$I$85=C24,Begegnungen!$I$86=C24,Begegnungen!$I$87=C24,Begegnungen!$I$88=C24,Begegnungen!$I$89=C24,Begegnungen!$I$90=C24,Begegnungen!$I$91=C24),Begegnungen!$I$98,IF(OR(Begegnungen!$K$84=C24,Begegnungen!$K$85=C24,Begegnungen!$K$86=C24,Begegnungen!$K$87=C24,Begegnungen!$K$88=C24,Begegnungen!$K$89=C24,Begegnungen!$K$90=C24,Begegnungen!$K$91=C24),Begegnungen!$K$98,""))</f>
        <v>0</v>
      </c>
      <c r="P24" s="256" t="str">
        <f>IF(OR(Begegnungen!$C$101=C24,Begegnungen!$C$102=C24,Begegnungen!$C$103=C24,Begegnungen!$C$104=C24,Begegnungen!$C$105=C24,Begegnungen!$C$106=C24,Begegnungen!$C$107=C24),Begegnungen!$C$114,IF(OR(Begegnungen!$E$101=C24,Begegnungen!$E$102=C24,Begegnungen!$E$103=C24,Begegnungen!$E$104=C24,Begegnungen!$E$105=C24,Begegnungen!$E$106=C24,Begegnungen!$E$107=C24),Begegnungen!$E$114,""))</f>
        <v>3</v>
      </c>
      <c r="Q24" s="256" t="str">
        <f>IF(OR(Begegnungen!$I$101=C24,Begegnungen!$I$102=C24,Begegnungen!$I$103=C24,Begegnungen!$I$104=C24,Begegnungen!$I$105=C24,Begegnungen!$I$106=C24,Begegnungen!$I$107=C24),Begegnungen!$I$114,IF(OR(Begegnungen!$K$101=C24,Begegnungen!$K$102=C24,Begegnungen!$K$103=C24,Begegnungen!$K$104=C24,Begegnungen!$K$105=C24,Begegnungen!$K$106=C24,Begegnungen!$K$107=C24),Begegnungen!$K$114,""))</f>
        <v>3</v>
      </c>
      <c r="R24" s="136" t="str">
        <f>IF(OR(Begegnungen!$C$117=C24,Begegnungen!$C$118=C24,Begegnungen!$C$119=C24,Begegnungen!$C$120=C24,Begegnungen!$C$121=C24,Begegnungen!$C$122=C24,Begegnungen!$C$123=C24),Begegnungen!$C$130,IF(OR(Begegnungen!$E$117=C24,Begegnungen!$E$118=C24,Begegnungen!$E$119=C24,Begegnungen!$E$120=C24,Begegnungen!$E$121=C24,Begegnungen!$E$122=C24,Begegnungen!$E$123=C24),Begegnungen!$E$130,""))</f>
        <v>3</v>
      </c>
      <c r="S24" s="256" t="str">
        <f>IF(OR(Begegnungen!$I$117=C24,Begegnungen!$I$118=C24,Begegnungen!$I$119=C24,Begegnungen!$I$120=C24,Begegnungen!$I$121=C24,Begegnungen!$I$122=C24,Begegnungen!$I$123=C24),Begegnungen!$I$130,IF(OR(Begegnungen!$K$117=C24,Begegnungen!$K$118=C24,Begegnungen!$K$119=C24,Begegnungen!$K$120=C24,Begegnungen!$K$121=C24,Begegnungen!$K$122=C24,Begegnungen!$K$123=C24),Begegnungen!$K$130,""))</f>
        <v>3</v>
      </c>
      <c r="T24" s="256" t="str">
        <f>IF(OR(Begegnungen!$C$133=C24,Begegnungen!$C$134=C24,Begegnungen!$C$135=C24,Begegnungen!$C$136=C24,Begegnungen!$C$137=C24,Begegnungen!$C$138=C24,Begegnungen!$C$139=C24),Begegnungen!$C$146,IF(OR(Begegnungen!$E$133=C24,Begegnungen!$E$134=C24,Begegnungen!$E$135=C24,Begegnungen!$E$136=C24,Begegnungen!$E$137=C24,Begegnungen!$E$138=C24,Begegnungen!$E$139=C24),Begegnungen!$E$146,""))</f>
        <v>3</v>
      </c>
      <c r="U24" s="256" t="str">
        <f>IF(OR(Begegnungen!$I$133=C24,Begegnungen!$I$134=C24,Begegnungen!$I$135=C24,Begegnungen!$I$136=C24,Begegnungen!$I$137=C24,Begegnungen!$I$138=C24,Begegnungen!$I$139=C24),Begegnungen!$I$146,IF(OR(Begegnungen!$K$133=C24,Begegnungen!$K$134=C24,Begegnungen!$K$135=C24,Begegnungen!$K$136=C24,Begegnungen!$K$137=C24,Begegnungen!$K$138=C24,Begegnungen!$K$139=C24),Begegnungen!$K$146,""))</f>
        <v>3</v>
      </c>
      <c r="V24" s="256" t="str">
        <f>IF(OR(Begegnungen!$C$149=C24,Begegnungen!$C$150=C24,Begegnungen!$C$151=C24,Begegnungen!$C$152=C24,Begegnungen!$C$153=C24,Begegnungen!$C$154=C24,Begegnungen!$C$155=C24),Begegnungen!$C$162,IF(OR(Begegnungen!$E$149=C24,Begegnungen!$E$150=C24,Begegnungen!$E$151=C24,Begegnungen!$E$152=C24,Begegnungen!$E$153=C24,Begegnungen!$E$154=C24,Begegnungen!$E$155=C24),Begegnungen!$E$162,""))</f>
        <v>0</v>
      </c>
      <c r="W24" s="256" t="str">
        <f>IF(OR(Begegnungen!$I$149=C24,Begegnungen!$I$150=C24,Begegnungen!$I$151=C24,Begegnungen!$I$152=C24,Begegnungen!$I$153=C24,Begegnungen!$I$154=C24,Begegnungen!$I$155=C24),Begegnungen!$I$162,IF(OR(Begegnungen!$K$149=C24,Begegnungen!$K$150=C24,Begegnungen!$K$151=C24,Begegnungen!$K$152=C24,Begegnungen!$K$153=C24,Begegnungen!$K$154=C24,Begegnungen!$K$155=C24),Begegnungen!$K$162,""))</f>
        <v>3</v>
      </c>
      <c r="X24" s="256" t="str">
        <f>IF(OR(Begegnungen!$C$165=C24,Begegnungen!$C$166=C24,Begegnungen!$C$167=C24,Begegnungen!$C$168=C24,Begegnungen!$C$169=C24,Begegnungen!$C$170=C24,Begegnungen!$C$171=C24),Begegnungen!$C$178,IF(OR(Begegnungen!$E$165=C24,Begegnungen!$E$166=C24,Begegnungen!$E$167=C24,Begegnungen!$E$168=C24,Begegnungen!$E$169=C24,Begegnungen!$E$170=C24,Begegnungen!$E$171=C24),Begegnungen!$E$178,""))</f>
        <v>3</v>
      </c>
      <c r="Y24" s="256" t="str">
        <f>IF(OR(Begegnungen!$I$165=C24,Begegnungen!$I$166=C24,Begegnungen!$I$167=C24,Begegnungen!$I$168=C24,Begegnungen!$I$169=C24,Begegnungen!$I$170=C24,Begegnungen!$I$171=C24),Begegnungen!$I$178,IF(OR(Begegnungen!$K$165=C24,Begegnungen!$K$166=C24,Begegnungen!$K$167=C24,Begegnungen!$K$168=C24,Begegnungen!$K$169=C24,Begegnungen!$K$170=C24,Begegnungen!$K$171=C24),Begegnungen!$K$178,""))</f>
        <v>0</v>
      </c>
      <c r="Z24" s="256" t="str">
        <f>IF(OR(Begegnungen!$C$181=C24,Begegnungen!$C$182=C24,Begegnungen!$C$183=C24,Begegnungen!$C$184=C24,Begegnungen!$C$185=C24,Begegnungen!$C$186=C24,Begegnungen!$C$187=C24),Begegnungen!$C$194,IF(OR(Begegnungen!$E$181=C24,Begegnungen!$E$182=C24,Begegnungen!$E$183=C24,Begegnungen!$E$184=C24,Begegnungen!$E$185=C24,Begegnungen!$E$186=C24,Begegnungen!$E$187=C24),Begegnungen!$E$194,""))</f>
        <v/>
      </c>
      <c r="AA24" s="256" t="str">
        <f>IF(OR(Begegnungen!$I$181=C24,Begegnungen!$I$182=C24,Begegnungen!$I$183=C24,Begegnungen!$I$184=C24,Begegnungen!$I$185=C24,Begegnungen!$I$186=C24,Begegnungen!$I$187=C24),Begegnungen!$I$194,IF(OR(Begegnungen!$K$181=C24,Begegnungen!$K$182=C24,Begegnungen!$K$183=C24,Begegnungen!$K$184=C24,Begegnungen!$K$185=C24,Begegnungen!$K$186=C24,Begegnungen!$K$187=C24),Begegnungen!$K$194,""))</f>
        <v/>
      </c>
      <c r="AB24" s="256" t="str">
        <f>IF(OR(Begegnungen!$C$197=C24,Begegnungen!$C$198=C24,Begegnungen!$C$199=C24,Begegnungen!$C$200=C24,Begegnungen!$C$201=C24,Begegnungen!$C$202=C24,Begegnungen!$C$203=C24),Begegnungen!$C$210,IF(OR(Begegnungen!$E$197=C24,Begegnungen!$E$198=C24,Begegnungen!$E$199=C24,Begegnungen!$E$200=C24,Begegnungen!$E$201=C24,Begegnungen!$E$202=C24,Begegnungen!$E$203=C24),Begegnungen!$E$210,""))</f>
        <v>0</v>
      </c>
      <c r="AC24" s="256" t="str">
        <f>IF(OR(Begegnungen!$I$197=C24,Begegnungen!$I$198=C24,Begegnungen!$I$199=C24,Begegnungen!$I$200=C24,Begegnungen!$I$201=C24,Begegnungen!$I$202=C24,Begegnungen!$I$203=C24),Begegnungen!$I$210,IF(OR(Begegnungen!$K$197=C24,Begegnungen!$K$198=C24,Begegnungen!$K$199=C24,Begegnungen!$K$200=C24,Begegnungen!$K$201=C24,Begegnungen!$K$202=C24,Begegnungen!$K$203=C24),Begegnungen!$K$210,""))</f>
        <v>0</v>
      </c>
      <c r="AD24" s="256" t="str">
        <f>IF(OR(Begegnungen!$C$213=C24,Begegnungen!$C$214=C24,Begegnungen!$C$215=C24,Begegnungen!$C$216=C24,Begegnungen!$C$217=C24,Begegnungen!$C$218=C24,Begegnungen!$C$219=C24),Begegnungen!$C$226,IF(OR(Begegnungen!$E$213=C24,Begegnungen!$E$214=C24,Begegnungen!$E$215=C24,Begegnungen!$E$216=C24,Begegnungen!$E$217=C24,Begegnungen!$E$218=C24,Begegnungen!$E$219=C24),Begegnungen!$E$226,""))</f>
        <v>0</v>
      </c>
      <c r="AE24" s="256" t="str">
        <f>IF(OR(Begegnungen!$I$213=C24,Begegnungen!$I$214=C24,Begegnungen!$I$215=C24,Begegnungen!$I$216=C24,Begegnungen!$I$217=C24,Begegnungen!$I$218=C24,Begegnungen!$I$219=C24),Begegnungen!$I$226,IF(OR(Begegnungen!$K$213=C24,Begegnungen!$K$214=C24,Begegnungen!$K$215=C24,Begegnungen!$K$216=C24,Begegnungen!$K$217=C24,Begegnungen!$K$218=C24,Begegnungen!$K$219=C24),Begegnungen!$K$226,""))</f>
        <v>0</v>
      </c>
      <c r="AF24" s="136" t="str">
        <f>IF(OR(Begegnungen!$C$229=C24,Begegnungen!$C$230=C24,Begegnungen!$C$231=C24,Begegnungen!$C$232=C24,Begegnungen!$C$233=C24,Begegnungen!$C$234=C24,Begegnungen!$C$235=C24),Begegnungen!$C$242,IF(OR(Begegnungen!$E$229=C24,Begegnungen!$E$230=C24,Begegnungen!$E$231=C24,Begegnungen!$E$232=C24,Begegnungen!$E$233=C24,Begegnungen!$E$234=C24,Begegnungen!$E$235=C24),Begegnungen!$E$242,""))</f>
        <v>3</v>
      </c>
      <c r="AG24" s="256" t="str">
        <f>IF(OR(Begegnungen!$I$229=C24,Begegnungen!$I$230=C24,Begegnungen!$I$231=C24,Begegnungen!$I$232=C24,Begegnungen!$I$233=C24,Begegnungen!$I$234=C24,Begegnungen!$I$235=C24),Begegnungen!$I$242,IF(OR(Begegnungen!$K$229=C24,Begegnungen!$K$230=C24,Begegnungen!$K$231=C24,Begegnungen!$K$232=C24,Begegnungen!$K$233=C24,Begegnungen!$K$234=C24,Begegnungen!$K$235=C24),Begegnungen!$K$242,""))</f>
        <v/>
      </c>
      <c r="AH24" s="256" t="str">
        <f>IF(OR(Begegnungen!$C$245=C24,Begegnungen!$C$246=C24,Begegnungen!$C$247=C24,Begegnungen!$C$248=C24,Begegnungen!$C$249=C24,Begegnungen!$C$250=C24,Begegnungen!$C$251=C24),Begegnungen!$C$258,IF(OR(Begegnungen!$E$245=C24,Begegnungen!$E$246=C24,Begegnungen!$E$247=C24,Begegnungen!$E$248=C24,Begegnungen!$E$249=C24,Begegnungen!$E$250=C24,Begegnungen!$E$251=C24),Begegnungen!$E$258,""))</f>
        <v>3</v>
      </c>
      <c r="AI24" s="256" t="str">
        <f>IF(OR(Begegnungen!$I$245=C24,Begegnungen!$I$246=C24,Begegnungen!$I$247=C24,Begegnungen!$I$248=C24,Begegnungen!$I$249=C24,Begegnungen!$I$250=C24,Begegnungen!$I$251=C24),Begegnungen!$I$258,IF(OR(Begegnungen!$K$245=C24,Begegnungen!$K$246=C24,Begegnungen!$K$247=C24,Begegnungen!$K$248=C24,Begegnungen!$K$249=C24,Begegnungen!$K$250=C24,Begegnungen!$K$251=C24),Begegnungen!$K$258,""))</f>
        <v/>
      </c>
      <c r="AJ24" s="256" t="str">
        <f>IF(OR(Begegnungen!$C$261=C24,Begegnungen!$C$262=C24,Begegnungen!$C$263=C24,Begegnungen!$C$264=C24,Begegnungen!$C$265=C24,Begegnungen!$C$266=C24,Begegnungen!$C$267=C24),Begegnungen!$C$274,IF(OR(Begegnungen!$E$261=C24,Begegnungen!$E$262=C24,Begegnungen!$E$263=C24,Begegnungen!$E$264=C24,Begegnungen!$E$265=C24,Begegnungen!$E$266=C24,Begegnungen!$E$267=C24),Begegnungen!$E$274,""))</f>
        <v/>
      </c>
      <c r="AK24" s="256" t="str">
        <f>IF(OR(Begegnungen!$I$261=C24,Begegnungen!$I$262=C24,Begegnungen!$I$263=C24,Begegnungen!$I$264=C24,Begegnungen!$I$265=C24,Begegnungen!$I$266=C24,Begegnungen!$I$267=C24),Begegnungen!$I$274,IF(OR(Begegnungen!$K$261=C24,Begegnungen!$K$262=C24,Begegnungen!$K$263=C24,Begegnungen!$K$264=C24,Begegnungen!$K$265=C24,Begegnungen!$K$266=C24,Begegnungen!$K$267=C24),Begegnungen!$K$274,""))</f>
        <v>1</v>
      </c>
      <c r="AL24" s="256" t="str">
        <f>IF(OR(Begegnungen!$C$277=C24,Begegnungen!$C$278=C24,Begegnungen!$C$279=C24,Begegnungen!$C$280=C24,Begegnungen!$C$281=C24,Begegnungen!$C$282=C24,Begegnungen!$C$283=C24),Begegnungen!$C$290,IF(OR(Begegnungen!$E$277=C24,Begegnungen!$E$278=C24,Begegnungen!$E$279=C24,Begegnungen!$E$280=C24,Begegnungen!$E$281=C24,Begegnungen!$E$282=C24,Begegnungen!$E$283=C24),Begegnungen!$E$290,""))</f>
        <v>0</v>
      </c>
      <c r="AM24" s="136" t="str">
        <f>IF(OR(Begegnungen!$I$277=C24,Begegnungen!$I$278=C24,Begegnungen!$I$279=C24,Begegnungen!$I$280=C24,Begegnungen!$I$281=C24,Begegnungen!$I$282=C24,Begegnungen!$I$283=C24),Begegnungen!$I$290,IF(OR(Begegnungen!$K$277=C24,Begegnungen!$K$278=C24,Begegnungen!$K$279=C24,Begegnungen!$K$280=C24,Begegnungen!$K$281=C24,Begegnungen!$K$282=C24,Begegnungen!$K$283=C24),Begegnungen!$K$290,""))</f>
        <v/>
      </c>
      <c r="AN24" s="256" t="str">
        <f>IF(OR(Begegnungen!$C$293=C24,Begegnungen!$C$294=C24,Begegnungen!$C$295=C24,Begegnungen!$C$296=C24,Begegnungen!$C$297=C24,Begegnungen!$C$298=C24,Begegnungen!$C$299=C24),Begegnungen!$C$306,IF(OR(Begegnungen!$E$293=C24,Begegnungen!$E$294=C24,Begegnungen!$E$295=C24,Begegnungen!$E$296=C24,Begegnungen!$E$297=C24,Begegnungen!$E$298=C24,Begegnungen!$E$299=C24),Begegnungen!$E$306,""))</f>
        <v/>
      </c>
      <c r="AO24" s="136" t="str">
        <f>IF(OR(Begegnungen!$I$293=C24,Begegnungen!$I$294=C24,Begegnungen!$I$295=C24,Begegnungen!$I$296=C24,Begegnungen!$I$297=C24,Begegnungen!$I$298=C24,Begegnungen!$I$299=C24),Begegnungen!$I$306,IF(OR(Begegnungen!$K$293=C24,Begegnungen!$K$294=C24,Begegnungen!$K$295=C24,Begegnungen!$K$296=C24,Begegnungen!$K$297=C24,Begegnungen!$K$298=C24,Begegnungen!$K$299=C24),Begegnungen!$K$306,""))</f>
        <v>0</v>
      </c>
      <c r="AP24" s="136" t="str">
        <f>IF(OR(Begegnungen!$C$309=C24,Begegnungen!$C$310=C24,Begegnungen!$C$311=C24,Begegnungen!$C$312=C24,Begegnungen!$C$313=C24,Begegnungen!$C$314=C24,Begegnungen!$C$315=C24),Begegnungen!$C$322,IF(OR(Begegnungen!$E$309=C24,Begegnungen!$E$310=C24,Begegnungen!$E$311=C24,Begegnungen!$E$312=C24,Begegnungen!$E$313=C24,Begegnungen!$E$314=C24,Begegnungen!$E$315=C24),Begegnungen!$E$322,""))</f>
        <v>0</v>
      </c>
      <c r="AQ24" s="256" t="str">
        <f>IF(OR(Begegnungen!$I$309=C24,Begegnungen!$I$310=C24,Begegnungen!$I$311=C24,Begegnungen!$I$312=C24,Begegnungen!$I$313=C24,Begegnungen!$I$314=C24,Begegnungen!$I$315=C24),Begegnungen!$I$322,IF(OR(Begegnungen!$K$309=C24,Begegnungen!$K$310=C24,Begegnungen!$K$311=C24,Begegnungen!$K$312=C24,Begegnungen!$K$313=C24,Begegnungen!$K$314=C24,Begegnungen!$K$315=C24),Begegnungen!$K$322,""))</f>
        <v>0</v>
      </c>
      <c r="AR24" s="18">
        <f>AW24*3+AX24</f>
        <v>41</v>
      </c>
      <c r="AS24" s="19">
        <f t="shared" si="0"/>
        <v>31</v>
      </c>
      <c r="AT24" s="20">
        <f t="shared" si="1"/>
        <v>1.55</v>
      </c>
      <c r="AU24" s="21">
        <f t="shared" si="3"/>
        <v>2.8725806451612903</v>
      </c>
      <c r="AW24" s="70">
        <f t="shared" ref="AW24" si="7">COUNTIF(D24:AQ24,3)</f>
        <v>13</v>
      </c>
      <c r="AX24" s="30">
        <f t="shared" ref="AX24" si="8">COUNTIF(D24:AQ24,1)</f>
        <v>2</v>
      </c>
      <c r="AY24" s="71">
        <f t="shared" ref="AY24" si="9">COUNTIF(D24:AQ24,0)</f>
        <v>16</v>
      </c>
    </row>
    <row r="25" spans="2:51" ht="15.75" thickBot="1" x14ac:dyDescent="0.3">
      <c r="B25" s="7">
        <v>20</v>
      </c>
      <c r="C25" s="180" t="s">
        <v>122</v>
      </c>
      <c r="D25" s="273" t="str">
        <f>IF(OR(Begegnungen!$C$3=C25,Begegnungen!$C$4=C25,Begegnungen!$C$5=C25,Begegnungen!$C$6=C25,Begegnungen!$C$7=C25,Begegnungen!$C$8=C25,Begegnungen!$C$9=C25),Begegnungen!$C$16,IF(OR(Begegnungen!$E$3=C25,Begegnungen!$E$4=C25,Begegnungen!$E$5=C25,Begegnungen!$E$6=C25,Begegnungen!$E$7=C25,Begegnungen!$E$8=C25,Begegnungen!$E$9=C25),Begegnungen!$E$16,""))</f>
        <v/>
      </c>
      <c r="E25" s="273" t="str">
        <f>IF(OR(Begegnungen!$I$3=C25,Begegnungen!$I$4=C25,Begegnungen!$I$5=C25,Begegnungen!$I$6=C25,Begegnungen!$I$7=C25,Begegnungen!$I$8=C25,Begegnungen!$I$9=C25),Begegnungen!$I$16,IF(OR(Begegnungen!$K$3=C25,Begegnungen!$K$4=C25,Begegnungen!$K$5=C25,Begegnungen!$K$6=C25,Begegnungen!$K$7=C25,Begegnungen!$K$8=C25,Begegnungen!$K$9=C25),Begegnungen!$K$16,""))</f>
        <v/>
      </c>
      <c r="F25" s="273" t="str">
        <f>IF(OR(Begegnungen!$C$19=C25,Begegnungen!$C$20=C25,Begegnungen!$C$21=C25,Begegnungen!$C$22=C25,Begegnungen!$C$23=C25,Begegnungen!$C$24=C25,Begegnungen!$C$25=C25),Begegnungen!$C$32,IF(OR(Begegnungen!$E$19=C25,Begegnungen!$E$20=C25,Begegnungen!$E$21=C25,Begegnungen!$E$22=C25,Begegnungen!$E$23=C25,Begegnungen!$E$24=C25,Begegnungen!$E$25=C25),Begegnungen!$E$32,""))</f>
        <v>0</v>
      </c>
      <c r="G25" s="273" t="str">
        <f>IF(OR(Begegnungen!$I$19=C25,Begegnungen!$I$20=C25,Begegnungen!$I$21=C25,Begegnungen!$I$22=C25,Begegnungen!$I$23=C25,Begegnungen!$I$24=C25,Begegnungen!$I$25=C25),Begegnungen!$I$32,IF(OR(Begegnungen!$K$19=C25,Begegnungen!$K$20=C25,Begegnungen!$K$21=C25,Begegnungen!$K$22=C25,Begegnungen!$K$23=C25,Begegnungen!$K$24=C25,Begegnungen!$K$25=C25),Begegnungen!$K$32,""))</f>
        <v>3</v>
      </c>
      <c r="H25" s="273" t="str">
        <f>IF(OR(Begegnungen!$C$35=C25,Begegnungen!$C$36=C25,Begegnungen!$C$37=C25,Begegnungen!$C$38=C25,Begegnungen!$C$39=C25,Begegnungen!$C$40=C25,Begegnungen!$C$41=C25),Begegnungen!$C$49,IF(OR(Begegnungen!$E$35=C25,Begegnungen!$E$36=C25,Begegnungen!$E$37=C25,Begegnungen!$E$38=C25,Begegnungen!$E$39=C25,Begegnungen!$E$40=C25,Begegnungen!$E$41=C25),Begegnungen!$E$49,""))</f>
        <v>3</v>
      </c>
      <c r="I25" s="273" t="str">
        <f>IF(OR(Begegnungen!$I$35=C25,Begegnungen!$I$36=C25,Begegnungen!$I$37=C25,Begegnungen!$I$38=C25,Begegnungen!$I$39=C25,Begegnungen!$I$40=C25,Begegnungen!$I$41=C25),Begegnungen!$I$49,IF(OR(Begegnungen!$K$35=C25,Begegnungen!$K$36=C25,Begegnungen!$K$37=C25,Begegnungen!$K$38=C25,Begegnungen!$K$39=C25,Begegnungen!$K$40=C25,Begegnungen!$K$41=C25),Begegnungen!$K$49,""))</f>
        <v>1</v>
      </c>
      <c r="J25" s="273" t="str">
        <f>IF(OR(Begegnungen!$C$52=C25,Begegnungen!$C$53=C25,Begegnungen!$C$54=C25,Begegnungen!$C$55=C25,Begegnungen!$C$56=C25,Begegnungen!$C$57=C25,Begegnungen!$C$58=C25),Begegnungen!$C$65,IF(OR(Begegnungen!$E$52=C25,Begegnungen!$E$53=C25,Begegnungen!$E$54=C25,Begegnungen!$E$55=C25,Begegnungen!$E$56=C25,Begegnungen!$E$57=C25,Begegnungen!$E$58=C25),Begegnungen!$E$65,""))</f>
        <v>0</v>
      </c>
      <c r="K25" s="273" t="str">
        <f>IF(OR(Begegnungen!$I$52=C25,Begegnungen!$I$53=C25,Begegnungen!$I$54=C25,Begegnungen!$I$55=C25,Begegnungen!$I$56=C25,Begegnungen!$I$57=C25,Begegnungen!$I$58=C25),Begegnungen!$I$65,IF(OR(Begegnungen!$K$52=C25,Begegnungen!$K$53=C25,Begegnungen!$K$54=C25,Begegnungen!$K$55=C25,Begegnungen!$K$56=C25,Begegnungen!$K$57=C25,Begegnungen!$K$58=C25),Begegnungen!$K$65,""))</f>
        <v/>
      </c>
      <c r="L25" s="136" t="str">
        <f>IF(OR(Begegnungen!$C$68=C25,Begegnungen!$C$69=C25,Begegnungen!$C$70=C25,Begegnungen!$C$71=C25,Begegnungen!$C$72=C25,Begegnungen!$C$73=C25,Begegnungen!$C$74=C25),Begegnungen!$C$81,IF(OR(Begegnungen!$E$68=C25,Begegnungen!$E$69=C25,Begegnungen!$E$70=C25,Begegnungen!$E$71=C25,Begegnungen!$E$72=C25,Begegnungen!$E$73=C25,Begegnungen!$E$74=C25),Begegnungen!$E$81,""))</f>
        <v>0</v>
      </c>
      <c r="M25" s="273" t="str">
        <f>IF(OR(Begegnungen!$I$68=C25,Begegnungen!$I$69=C25,Begegnungen!$I$70=C25,Begegnungen!$I$71=C25,Begegnungen!$I$72=C25,Begegnungen!$I$73=C25,Begegnungen!$I$74=C25),Begegnungen!$I$81,IF(OR(Begegnungen!$K$68=C25,Begegnungen!$K$69=C25,Begegnungen!$K$70=C25,Begegnungen!$K$71=C25,Begegnungen!$K$72=C25,Begegnungen!$K$73=C25,Begegnungen!$K$74=C25),Begegnungen!$K$81,""))</f>
        <v>0</v>
      </c>
      <c r="N25" s="273" t="str">
        <f>IF(OR(Begegnungen!$C$84=C25,Begegnungen!$C$85=C25,Begegnungen!$C$86=C25,Begegnungen!$C$87=C25,Begegnungen!$C$88=C25,Begegnungen!$C$89=C25,Begegnungen!$C$90=C25),Begegnungen!$C$98,IF(OR(Begegnungen!$E$84=C25,Begegnungen!$E$85=C25,Begegnungen!$E$86=C25,Begegnungen!$E$87=C25,Begegnungen!$E$88=C25,Begegnungen!$E$89=C25,Begegnungen!$E$90=C25),Begegnungen!$E$98,""))</f>
        <v>3</v>
      </c>
      <c r="O25" s="273" t="str">
        <f>IF(OR(Begegnungen!$I$84=C25,Begegnungen!$I$85=C25,Begegnungen!$I$86=C25,Begegnungen!$I$87=C25,Begegnungen!$I$88=C25,Begegnungen!$I$89=C25,Begegnungen!$I$90=C25,Begegnungen!$I$91=C25),Begegnungen!$I$98,IF(OR(Begegnungen!$K$84=C25,Begegnungen!$K$85=C25,Begegnungen!$K$86=C25,Begegnungen!$K$87=C25,Begegnungen!$K$88=C25,Begegnungen!$K$89=C25,Begegnungen!$K$90=C25,Begegnungen!$K$91=C25),Begegnungen!$K$98,""))</f>
        <v>3</v>
      </c>
      <c r="P25" s="273" t="str">
        <f>IF(OR(Begegnungen!$C$101=C25,Begegnungen!$C$102=C25,Begegnungen!$C$103=C25,Begegnungen!$C$104=C25,Begegnungen!$C$105=C25,Begegnungen!$C$106=C25,Begegnungen!$C$107=C25),Begegnungen!$C$114,IF(OR(Begegnungen!$E$101=C25,Begegnungen!$E$102=C25,Begegnungen!$E$103=C25,Begegnungen!$E$104=C25,Begegnungen!$E$105=C25,Begegnungen!$E$106=C25,Begegnungen!$E$107=C25),Begegnungen!$E$114,""))</f>
        <v>0</v>
      </c>
      <c r="Q25" s="273" t="str">
        <f>IF(OR(Begegnungen!$I$101=C25,Begegnungen!$I$102=C25,Begegnungen!$I$103=C25,Begegnungen!$I$104=C25,Begegnungen!$I$105=C25,Begegnungen!$I$106=C25,Begegnungen!$I$107=C25),Begegnungen!$I$114,IF(OR(Begegnungen!$K$101=C25,Begegnungen!$K$102=C25,Begegnungen!$K$103=C25,Begegnungen!$K$104=C25,Begegnungen!$K$105=C25,Begegnungen!$K$106=C25,Begegnungen!$K$107=C25),Begegnungen!$K$114,""))</f>
        <v>3</v>
      </c>
      <c r="R25" s="136" t="str">
        <f>IF(OR(Begegnungen!$C$117=C25,Begegnungen!$C$118=C25,Begegnungen!$C$119=C25,Begegnungen!$C$120=C25,Begegnungen!$C$121=C25,Begegnungen!$C$122=C25,Begegnungen!$C$123=C25),Begegnungen!$C$130,IF(OR(Begegnungen!$E$117=C25,Begegnungen!$E$118=C25,Begegnungen!$E$119=C25,Begegnungen!$E$120=C25,Begegnungen!$E$121=C25,Begegnungen!$E$122=C25,Begegnungen!$E$123=C25),Begegnungen!$E$130,""))</f>
        <v>0</v>
      </c>
      <c r="S25" s="273" t="str">
        <f>IF(OR(Begegnungen!$I$117=C25,Begegnungen!$I$118=C25,Begegnungen!$I$119=C25,Begegnungen!$I$120=C25,Begegnungen!$I$121=C25,Begegnungen!$I$122=C25,Begegnungen!$I$123=C25),Begegnungen!$I$130,IF(OR(Begegnungen!$K$117=C25,Begegnungen!$K$118=C25,Begegnungen!$K$119=C25,Begegnungen!$K$120=C25,Begegnungen!$K$121=C25,Begegnungen!$K$122=C25,Begegnungen!$K$123=C25),Begegnungen!$K$130,""))</f>
        <v/>
      </c>
      <c r="T25" s="273" t="str">
        <f>IF(OR(Begegnungen!$C$133=C25,Begegnungen!$C$134=C25,Begegnungen!$C$135=C25,Begegnungen!$C$136=C25,Begegnungen!$C$137=C25,Begegnungen!$C$138=C25,Begegnungen!$C$139=C25),Begegnungen!$C$146,IF(OR(Begegnungen!$E$133=C25,Begegnungen!$E$134=C25,Begegnungen!$E$135=C25,Begegnungen!$E$136=C25,Begegnungen!$E$137=C25,Begegnungen!$E$138=C25,Begegnungen!$E$139=C25),Begegnungen!$E$146,""))</f>
        <v/>
      </c>
      <c r="U25" s="273" t="str">
        <f>IF(OR(Begegnungen!$I$133=C25,Begegnungen!$I$134=C25,Begegnungen!$I$135=C25,Begegnungen!$I$136=C25,Begegnungen!$I$137=C25,Begegnungen!$I$138=C25,Begegnungen!$I$139=C25),Begegnungen!$I$146,IF(OR(Begegnungen!$K$133=C25,Begegnungen!$K$134=C25,Begegnungen!$K$135=C25,Begegnungen!$K$136=C25,Begegnungen!$K$137=C25,Begegnungen!$K$138=C25,Begegnungen!$K$139=C25),Begegnungen!$K$146,""))</f>
        <v>3</v>
      </c>
      <c r="V25" s="273" t="str">
        <f>IF(OR(Begegnungen!$C$149=C25,Begegnungen!$C$150=C25,Begegnungen!$C$151=C25,Begegnungen!$C$152=C25,Begegnungen!$C$153=C25,Begegnungen!$C$154=C25,Begegnungen!$C$155=C25),Begegnungen!$C$162,IF(OR(Begegnungen!$E$149=C25,Begegnungen!$E$150=C25,Begegnungen!$E$151=C25,Begegnungen!$E$152=C25,Begegnungen!$E$153=C25,Begegnungen!$E$154=C25,Begegnungen!$E$155=C25),Begegnungen!$E$162,""))</f>
        <v/>
      </c>
      <c r="W25" s="273" t="str">
        <f>IF(OR(Begegnungen!$I$149=C25,Begegnungen!$I$150=C25,Begegnungen!$I$151=C25,Begegnungen!$I$152=C25,Begegnungen!$I$153=C25,Begegnungen!$I$154=C25,Begegnungen!$I$155=C25),Begegnungen!$I$162,IF(OR(Begegnungen!$K$149=C25,Begegnungen!$K$150=C25,Begegnungen!$K$151=C25,Begegnungen!$K$152=C25,Begegnungen!$K$153=C25,Begegnungen!$K$154=C25,Begegnungen!$K$155=C25),Begegnungen!$K$162,""))</f>
        <v/>
      </c>
      <c r="X25" s="273" t="str">
        <f>IF(OR(Begegnungen!$C$165=C25,Begegnungen!$C$166=C25,Begegnungen!$C$167=C25,Begegnungen!$C$168=C25,Begegnungen!$C$169=C25,Begegnungen!$C$170=C25,Begegnungen!$C$171=C25),Begegnungen!$C$178,IF(OR(Begegnungen!$E$165=C25,Begegnungen!$E$166=C25,Begegnungen!$E$167=C25,Begegnungen!$E$168=C25,Begegnungen!$E$169=C25,Begegnungen!$E$170=C25,Begegnungen!$E$171=C25),Begegnungen!$E$178,""))</f>
        <v/>
      </c>
      <c r="Y25" s="273" t="str">
        <f>IF(OR(Begegnungen!$I$165=C25,Begegnungen!$I$166=C25,Begegnungen!$I$167=C25,Begegnungen!$I$168=C25,Begegnungen!$I$169=C25,Begegnungen!$I$170=C25,Begegnungen!$I$171=C25),Begegnungen!$I$178,IF(OR(Begegnungen!$K$165=C25,Begegnungen!$K$166=C25,Begegnungen!$K$167=C25,Begegnungen!$K$168=C25,Begegnungen!$K$169=C25,Begegnungen!$K$170=C25,Begegnungen!$K$171=C25),Begegnungen!$K$178,""))</f>
        <v/>
      </c>
      <c r="Z25" s="273" t="str">
        <f>IF(OR(Begegnungen!$C$181=C25,Begegnungen!$C$182=C25,Begegnungen!$C$183=C25,Begegnungen!$C$184=C25,Begegnungen!$C$185=C25,Begegnungen!$C$186=C25,Begegnungen!$C$187=C25),Begegnungen!$C$194,IF(OR(Begegnungen!$E$181=C25,Begegnungen!$E$182=C25,Begegnungen!$E$183=C25,Begegnungen!$E$184=C25,Begegnungen!$E$185=C25,Begegnungen!$E$186=C25,Begegnungen!$E$187=C25),Begegnungen!$E$194,""))</f>
        <v/>
      </c>
      <c r="AA25" s="273" t="str">
        <f>IF(OR(Begegnungen!$I$181=C25,Begegnungen!$I$182=C25,Begegnungen!$I$183=C25,Begegnungen!$I$184=C25,Begegnungen!$I$185=C25,Begegnungen!$I$186=C25,Begegnungen!$I$187=C25),Begegnungen!$I$194,IF(OR(Begegnungen!$K$181=C25,Begegnungen!$K$182=C25,Begegnungen!$K$183=C25,Begegnungen!$K$184=C25,Begegnungen!$K$185=C25,Begegnungen!$K$186=C25,Begegnungen!$K$187=C25),Begegnungen!$K$194,""))</f>
        <v/>
      </c>
      <c r="AB25" s="273" t="str">
        <f>IF(OR(Begegnungen!$C$197=C25,Begegnungen!$C$198=C25,Begegnungen!$C$199=C25,Begegnungen!$C$200=C25,Begegnungen!$C$201=C25,Begegnungen!$C$202=C25,Begegnungen!$C$203=C25),Begegnungen!$C$210,IF(OR(Begegnungen!$E$197=C25,Begegnungen!$E$198=C25,Begegnungen!$E$199=C25,Begegnungen!$E$200=C25,Begegnungen!$E$201=C25,Begegnungen!$E$202=C25,Begegnungen!$E$203=C25),Begegnungen!$E$210,""))</f>
        <v/>
      </c>
      <c r="AC25" s="273" t="str">
        <f>IF(OR(Begegnungen!$I$197=C25,Begegnungen!$I$198=C25,Begegnungen!$I$199=C25,Begegnungen!$I$200=C25,Begegnungen!$I$201=C25,Begegnungen!$I$202=C25,Begegnungen!$I$203=C25),Begegnungen!$I$210,IF(OR(Begegnungen!$K$197=C25,Begegnungen!$K$198=C25,Begegnungen!$K$199=C25,Begegnungen!$K$200=C25,Begegnungen!$K$201=C25,Begegnungen!$K$202=C25,Begegnungen!$K$203=C25),Begegnungen!$K$210,""))</f>
        <v/>
      </c>
      <c r="AD25" s="273" t="str">
        <f>IF(OR(Begegnungen!$C$213=C25,Begegnungen!$C$214=C25,Begegnungen!$C$215=C25,Begegnungen!$C$216=C25,Begegnungen!$C$217=C25,Begegnungen!$C$218=C25,Begegnungen!$C$219=C25),Begegnungen!$C$226,IF(OR(Begegnungen!$E$213=C25,Begegnungen!$E$214=C25,Begegnungen!$E$215=C25,Begegnungen!$E$216=C25,Begegnungen!$E$217=C25,Begegnungen!$E$218=C25,Begegnungen!$E$219=C25),Begegnungen!$E$226,""))</f>
        <v>0</v>
      </c>
      <c r="AE25" s="273" t="str">
        <f>IF(OR(Begegnungen!$I$213=C25,Begegnungen!$I$214=C25,Begegnungen!$I$215=C25,Begegnungen!$I$216=C25,Begegnungen!$I$217=C25,Begegnungen!$I$218=C25,Begegnungen!$I$219=C25),Begegnungen!$I$226,IF(OR(Begegnungen!$K$213=C25,Begegnungen!$K$214=C25,Begegnungen!$K$215=C25,Begegnungen!$K$216=C25,Begegnungen!$K$217=C25,Begegnungen!$K$218=C25,Begegnungen!$K$219=C25),Begegnungen!$K$226,""))</f>
        <v>3</v>
      </c>
      <c r="AF25" s="136" t="str">
        <f>IF(OR(Begegnungen!$C$229=C25,Begegnungen!$C$230=C25,Begegnungen!$C$231=C25,Begegnungen!$C$232=C25,Begegnungen!$C$233=C25,Begegnungen!$C$234=C25,Begegnungen!$C$235=C25),Begegnungen!$C$242,IF(OR(Begegnungen!$E$229=C25,Begegnungen!$E$230=C25,Begegnungen!$E$231=C25,Begegnungen!$E$232=C25,Begegnungen!$E$233=C25,Begegnungen!$E$234=C25,Begegnungen!$E$235=C25),Begegnungen!$E$242,""))</f>
        <v>3</v>
      </c>
      <c r="AG25" s="273" t="str">
        <f>IF(OR(Begegnungen!$I$229=C25,Begegnungen!$I$230=C25,Begegnungen!$I$231=C25,Begegnungen!$I$232=C25,Begegnungen!$I$233=C25,Begegnungen!$I$234=C25,Begegnungen!$I$235=C25),Begegnungen!$I$242,IF(OR(Begegnungen!$K$229=C25,Begegnungen!$K$230=C25,Begegnungen!$K$231=C25,Begegnungen!$K$232=C25,Begegnungen!$K$233=C25,Begegnungen!$K$234=C25,Begegnungen!$K$235=C25),Begegnungen!$K$242,""))</f>
        <v>0</v>
      </c>
      <c r="AH25" s="273" t="str">
        <f>IF(OR(Begegnungen!$C$245=C25,Begegnungen!$C$246=C25,Begegnungen!$C$247=C25,Begegnungen!$C$248=C25,Begegnungen!$C$249=C25,Begegnungen!$C$250=C25,Begegnungen!$C$251=C25),Begegnungen!$C$258,IF(OR(Begegnungen!$E$245=C25,Begegnungen!$E$246=C25,Begegnungen!$E$247=C25,Begegnungen!$E$248=C25,Begegnungen!$E$249=C25,Begegnungen!$E$250=C25,Begegnungen!$E$251=C25),Begegnungen!$E$258,""))</f>
        <v/>
      </c>
      <c r="AI25" s="273" t="str">
        <f>IF(OR(Begegnungen!$I$245=C25,Begegnungen!$I$246=C25,Begegnungen!$I$247=C25,Begegnungen!$I$248=C25,Begegnungen!$I$249=C25,Begegnungen!$I$250=C25,Begegnungen!$I$251=C25),Begegnungen!$I$258,IF(OR(Begegnungen!$K$245=C25,Begegnungen!$K$246=C25,Begegnungen!$K$247=C25,Begegnungen!$K$248=C25,Begegnungen!$K$249=C25,Begegnungen!$K$250=C25,Begegnungen!$K$251=C25),Begegnungen!$K$258,""))</f>
        <v>0</v>
      </c>
      <c r="AJ25" s="273" t="str">
        <f>IF(OR(Begegnungen!$C$261=C25,Begegnungen!$C$262=C25,Begegnungen!$C$263=C25,Begegnungen!$C$264=C25,Begegnungen!$C$265=C25,Begegnungen!$C$266=C25,Begegnungen!$C$267=C25),Begegnungen!$C$274,IF(OR(Begegnungen!$E$261=C25,Begegnungen!$E$262=C25,Begegnungen!$E$263=C25,Begegnungen!$E$264=C25,Begegnungen!$E$265=C25,Begegnungen!$E$266=C25,Begegnungen!$E$267=C25),Begegnungen!$E$274,""))</f>
        <v/>
      </c>
      <c r="AK25" s="273" t="str">
        <f>IF(OR(Begegnungen!$I$261=C25,Begegnungen!$I$262=C25,Begegnungen!$I$263=C25,Begegnungen!$I$264=C25,Begegnungen!$I$265=C25,Begegnungen!$I$266=C25,Begegnungen!$I$267=C25),Begegnungen!$I$274,IF(OR(Begegnungen!$K$261=C25,Begegnungen!$K$262=C25,Begegnungen!$K$263=C25,Begegnungen!$K$264=C25,Begegnungen!$K$265=C25,Begegnungen!$K$266=C25,Begegnungen!$K$267=C25),Begegnungen!$K$274,""))</f>
        <v>1</v>
      </c>
      <c r="AL25" s="273" t="str">
        <f>IF(OR(Begegnungen!$C$277=C25,Begegnungen!$C$278=C25,Begegnungen!$C$279=C25,Begegnungen!$C$280=C25,Begegnungen!$C$281=C25,Begegnungen!$C$282=C25,Begegnungen!$C$283=C25),Begegnungen!$C$290,IF(OR(Begegnungen!$E$277=C25,Begegnungen!$E$278=C25,Begegnungen!$E$279=C25,Begegnungen!$E$280=C25,Begegnungen!$E$281=C25,Begegnungen!$E$282=C25,Begegnungen!$E$283=C25),Begegnungen!$E$290,""))</f>
        <v>0</v>
      </c>
      <c r="AM25" s="136" t="str">
        <f>IF(OR(Begegnungen!$I$277=C25,Begegnungen!$I$278=C25,Begegnungen!$I$279=C25,Begegnungen!$I$280=C25,Begegnungen!$I$281=C25,Begegnungen!$I$282=C25,Begegnungen!$I$283=C25),Begegnungen!$I$290,IF(OR(Begegnungen!$K$277=C25,Begegnungen!$K$278=C25,Begegnungen!$K$279=C25,Begegnungen!$K$280=C25,Begegnungen!$K$281=C25,Begegnungen!$K$282=C25,Begegnungen!$K$283=C25),Begegnungen!$K$290,""))</f>
        <v>0</v>
      </c>
      <c r="AN25" s="273" t="str">
        <f>IF(OR(Begegnungen!$C$293=C25,Begegnungen!$C$294=C25,Begegnungen!$C$295=C25,Begegnungen!$C$296=C25,Begegnungen!$C$297=C25,Begegnungen!$C$298=C25,Begegnungen!$C$299=C25),Begegnungen!$C$306,IF(OR(Begegnungen!$E$293=C25,Begegnungen!$E$294=C25,Begegnungen!$E$295=C25,Begegnungen!$E$296=C25,Begegnungen!$E$297=C25,Begegnungen!$E$298=C25,Begegnungen!$E$299=C25),Begegnungen!$E$306,""))</f>
        <v>0</v>
      </c>
      <c r="AO25" s="136" t="str">
        <f>IF(OR(Begegnungen!$I$293=C25,Begegnungen!$I$294=C25,Begegnungen!$I$295=C25,Begegnungen!$I$296=C25,Begegnungen!$I$297=C25,Begegnungen!$I$298=C25,Begegnungen!$I$299=C25),Begegnungen!$I$306,IF(OR(Begegnungen!$K$293=C25,Begegnungen!$K$294=C25,Begegnungen!$K$295=C25,Begegnungen!$K$296=C25,Begegnungen!$K$297=C25,Begegnungen!$K$298=C25,Begegnungen!$K$299=C25),Begegnungen!$K$306,""))</f>
        <v>0</v>
      </c>
      <c r="AP25" s="136" t="str">
        <f>IF(OR(Begegnungen!$C$309=C25,Begegnungen!$C$310=C25,Begegnungen!$C$311=C25,Begegnungen!$C$312=C25,Begegnungen!$C$313=C25,Begegnungen!$C$314=C25,Begegnungen!$C$315=C25),Begegnungen!$C$322,IF(OR(Begegnungen!$E$309=C25,Begegnungen!$E$310=C25,Begegnungen!$E$311=C25,Begegnungen!$E$312=C25,Begegnungen!$E$313=C25,Begegnungen!$E$314=C25,Begegnungen!$E$315=C25),Begegnungen!$E$322,""))</f>
        <v>3</v>
      </c>
      <c r="AQ25" s="273" t="str">
        <f>IF(OR(Begegnungen!$I$309=C25,Begegnungen!$I$310=C25,Begegnungen!$I$311=C25,Begegnungen!$I$312=C25,Begegnungen!$I$313=C25,Begegnungen!$I$314=C25,Begegnungen!$I$315=C25),Begegnungen!$I$322,IF(OR(Begegnungen!$K$309=C25,Begegnungen!$K$310=C25,Begegnungen!$K$311=C25,Begegnungen!$K$312=C25,Begegnungen!$K$313=C25,Begegnungen!$K$314=C25,Begegnungen!$K$315=C25),Begegnungen!$K$322,""))</f>
        <v>3</v>
      </c>
      <c r="AR25" s="18">
        <f>AW25*3+AX25</f>
        <v>32</v>
      </c>
      <c r="AS25" s="19">
        <f t="shared" ref="AS25:AS26" si="10">40-COUNTBLANK(D25:AQ25)</f>
        <v>25</v>
      </c>
      <c r="AT25" s="20">
        <f t="shared" ref="AT25:AT26" si="11">AS25*0.05</f>
        <v>1.25</v>
      </c>
      <c r="AU25" s="21">
        <f t="shared" ref="AU25:AU26" si="12">AR25/AS25+AT25</f>
        <v>2.5300000000000002</v>
      </c>
      <c r="AW25" s="70">
        <f t="shared" ref="AW25:AW26" si="13">COUNTIF(D25:AQ25,3)</f>
        <v>10</v>
      </c>
      <c r="AX25" s="30">
        <f t="shared" ref="AX25:AX26" si="14">COUNTIF(D25:AQ25,1)</f>
        <v>2</v>
      </c>
      <c r="AY25" s="71">
        <f t="shared" ref="AY25:AY26" si="15">COUNTIF(D25:AQ25,0)</f>
        <v>13</v>
      </c>
    </row>
    <row r="26" spans="2:51" ht="15.75" thickBot="1" x14ac:dyDescent="0.3">
      <c r="B26" s="7">
        <v>21</v>
      </c>
      <c r="C26" s="180" t="s">
        <v>123</v>
      </c>
      <c r="D26" s="273" t="str">
        <f>IF(OR(Begegnungen!$C$3=C26,Begegnungen!$C$4=C26,Begegnungen!$C$5=C26,Begegnungen!$C$6=C26,Begegnungen!$C$7=C26,Begegnungen!$C$8=C26,Begegnungen!$C$9=C26),Begegnungen!$C$16,IF(OR(Begegnungen!$E$3=C26,Begegnungen!$E$4=C26,Begegnungen!$E$5=C26,Begegnungen!$E$6=C26,Begegnungen!$E$7=C26,Begegnungen!$E$8=C26,Begegnungen!$E$9=C26),Begegnungen!$E$16,""))</f>
        <v/>
      </c>
      <c r="E26" s="273" t="str">
        <f>IF(OR(Begegnungen!$I$3=C26,Begegnungen!$I$4=C26,Begegnungen!$I$5=C26,Begegnungen!$I$6=C26,Begegnungen!$I$7=C26,Begegnungen!$I$8=C26,Begegnungen!$I$9=C26),Begegnungen!$I$16,IF(OR(Begegnungen!$K$3=C26,Begegnungen!$K$4=C26,Begegnungen!$K$5=C26,Begegnungen!$K$6=C26,Begegnungen!$K$7=C26,Begegnungen!$K$8=C26,Begegnungen!$K$9=C26),Begegnungen!$K$16,""))</f>
        <v/>
      </c>
      <c r="F26" s="273" t="str">
        <f>IF(OR(Begegnungen!$C$19=C26,Begegnungen!$C$20=C26,Begegnungen!$C$21=C26,Begegnungen!$C$22=C26,Begegnungen!$C$23=C26,Begegnungen!$C$24=C26,Begegnungen!$C$25=C26),Begegnungen!$C$32,IF(OR(Begegnungen!$E$19=C26,Begegnungen!$E$20=C26,Begegnungen!$E$21=C26,Begegnungen!$E$22=C26,Begegnungen!$E$23=C26,Begegnungen!$E$24=C26,Begegnungen!$E$25=C26),Begegnungen!$E$32,""))</f>
        <v>0</v>
      </c>
      <c r="G26" s="273" t="str">
        <f>IF(OR(Begegnungen!$I$19=C26,Begegnungen!$I$20=C26,Begegnungen!$I$21=C26,Begegnungen!$I$22=C26,Begegnungen!$I$23=C26,Begegnungen!$I$24=C26,Begegnungen!$I$25=C26),Begegnungen!$I$32,IF(OR(Begegnungen!$K$19=C26,Begegnungen!$K$20=C26,Begegnungen!$K$21=C26,Begegnungen!$K$22=C26,Begegnungen!$K$23=C26,Begegnungen!$K$24=C26,Begegnungen!$K$25=C26),Begegnungen!$K$32,""))</f>
        <v>0</v>
      </c>
      <c r="H26" s="273" t="str">
        <f>IF(OR(Begegnungen!$C$35=C26,Begegnungen!$C$36=C26,Begegnungen!$C$37=C26,Begegnungen!$C$38=C26,Begegnungen!$C$39=C26,Begegnungen!$C$40=C26,Begegnungen!$C$41=C26),Begegnungen!$C$49,IF(OR(Begegnungen!$E$35=C26,Begegnungen!$E$36=C26,Begegnungen!$E$37=C26,Begegnungen!$E$38=C26,Begegnungen!$E$39=C26,Begegnungen!$E$40=C26,Begegnungen!$E$41=C26),Begegnungen!$E$49,""))</f>
        <v>3</v>
      </c>
      <c r="I26" s="273" t="str">
        <f>IF(OR(Begegnungen!$I$35=C26,Begegnungen!$I$36=C26,Begegnungen!$I$37=C26,Begegnungen!$I$38=C26,Begegnungen!$I$39=C26,Begegnungen!$I$40=C26,Begegnungen!$I$41=C26),Begegnungen!$I$49,IF(OR(Begegnungen!$K$35=C26,Begegnungen!$K$36=C26,Begegnungen!$K$37=C26,Begegnungen!$K$38=C26,Begegnungen!$K$39=C26,Begegnungen!$K$40=C26,Begegnungen!$K$41=C26),Begegnungen!$K$49,""))</f>
        <v>1</v>
      </c>
      <c r="J26" s="273" t="str">
        <f>IF(OR(Begegnungen!$C$52=C26,Begegnungen!$C$53=C26,Begegnungen!$C$54=C26,Begegnungen!$C$55=C26,Begegnungen!$C$56=C26,Begegnungen!$C$57=C26,Begegnungen!$C$58=C26),Begegnungen!$C$65,IF(OR(Begegnungen!$E$52=C26,Begegnungen!$E$53=C26,Begegnungen!$E$54=C26,Begegnungen!$E$55=C26,Begegnungen!$E$56=C26,Begegnungen!$E$57=C26,Begegnungen!$E$58=C26),Begegnungen!$E$65,""))</f>
        <v/>
      </c>
      <c r="K26" s="273" t="str">
        <f>IF(OR(Begegnungen!$I$52=C26,Begegnungen!$I$53=C26,Begegnungen!$I$54=C26,Begegnungen!$I$55=C26,Begegnungen!$I$56=C26,Begegnungen!$I$57=C26,Begegnungen!$I$58=C26),Begegnungen!$I$65,IF(OR(Begegnungen!$K$52=C26,Begegnungen!$K$53=C26,Begegnungen!$K$54=C26,Begegnungen!$K$55=C26,Begegnungen!$K$56=C26,Begegnungen!$K$57=C26,Begegnungen!$K$58=C26),Begegnungen!$K$65,""))</f>
        <v>0</v>
      </c>
      <c r="L26" s="136" t="str">
        <f>IF(OR(Begegnungen!$C$68=C26,Begegnungen!$C$69=C26,Begegnungen!$C$70=C26,Begegnungen!$C$71=C26,Begegnungen!$C$72=C26,Begegnungen!$C$73=C26,Begegnungen!$C$74=C26),Begegnungen!$C$81,IF(OR(Begegnungen!$E$68=C26,Begegnungen!$E$69=C26,Begegnungen!$E$70=C26,Begegnungen!$E$71=C26,Begegnungen!$E$72=C26,Begegnungen!$E$73=C26,Begegnungen!$E$74=C26),Begegnungen!$E$81,""))</f>
        <v/>
      </c>
      <c r="M26" s="273" t="str">
        <f>IF(OR(Begegnungen!$I$68=C26,Begegnungen!$I$69=C26,Begegnungen!$I$70=C26,Begegnungen!$I$71=C26,Begegnungen!$I$72=C26,Begegnungen!$I$73=C26,Begegnungen!$I$74=C26),Begegnungen!$I$81,IF(OR(Begegnungen!$K$68=C26,Begegnungen!$K$69=C26,Begegnungen!$K$70=C26,Begegnungen!$K$71=C26,Begegnungen!$K$72=C26,Begegnungen!$K$73=C26,Begegnungen!$K$74=C26),Begegnungen!$K$81,""))</f>
        <v>3</v>
      </c>
      <c r="N26" s="273" t="str">
        <f>IF(OR(Begegnungen!$C$84=C26,Begegnungen!$C$85=C26,Begegnungen!$C$86=C26,Begegnungen!$C$87=C26,Begegnungen!$C$88=C26,Begegnungen!$C$89=C26,Begegnungen!$C$90=C26),Begegnungen!$C$98,IF(OR(Begegnungen!$E$84=C26,Begegnungen!$E$85=C26,Begegnungen!$E$86=C26,Begegnungen!$E$87=C26,Begegnungen!$E$88=C26,Begegnungen!$E$89=C26,Begegnungen!$E$90=C26),Begegnungen!$E$98,""))</f>
        <v/>
      </c>
      <c r="O26" s="273" t="str">
        <f>IF(OR(Begegnungen!$I$84=C26,Begegnungen!$I$85=C26,Begegnungen!$I$86=C26,Begegnungen!$I$87=C26,Begegnungen!$I$88=C26,Begegnungen!$I$89=C26,Begegnungen!$I$90=C26,Begegnungen!$I$91=C26),Begegnungen!$I$98,IF(OR(Begegnungen!$K$84=C26,Begegnungen!$K$85=C26,Begegnungen!$K$86=C26,Begegnungen!$K$87=C26,Begegnungen!$K$88=C26,Begegnungen!$K$89=C26,Begegnungen!$K$90=C26,Begegnungen!$K$91=C26),Begegnungen!$K$98,""))</f>
        <v>3</v>
      </c>
      <c r="P26" s="273" t="str">
        <f>IF(OR(Begegnungen!$C$101=C26,Begegnungen!$C$102=C26,Begegnungen!$C$103=C26,Begegnungen!$C$104=C26,Begegnungen!$C$105=C26,Begegnungen!$C$106=C26,Begegnungen!$C$107=C26),Begegnungen!$C$114,IF(OR(Begegnungen!$E$101=C26,Begegnungen!$E$102=C26,Begegnungen!$E$103=C26,Begegnungen!$E$104=C26,Begegnungen!$E$105=C26,Begegnungen!$E$106=C26,Begegnungen!$E$107=C26),Begegnungen!$E$114,""))</f>
        <v>0</v>
      </c>
      <c r="Q26" s="273" t="str">
        <f>IF(OR(Begegnungen!$I$101=C26,Begegnungen!$I$102=C26,Begegnungen!$I$103=C26,Begegnungen!$I$104=C26,Begegnungen!$I$105=C26,Begegnungen!$I$106=C26,Begegnungen!$I$107=C26),Begegnungen!$I$114,IF(OR(Begegnungen!$K$101=C26,Begegnungen!$K$102=C26,Begegnungen!$K$103=C26,Begegnungen!$K$104=C26,Begegnungen!$K$105=C26,Begegnungen!$K$106=C26,Begegnungen!$K$107=C26),Begegnungen!$K$114,""))</f>
        <v/>
      </c>
      <c r="R26" s="136" t="str">
        <f>IF(OR(Begegnungen!$C$117=C26,Begegnungen!$C$118=C26,Begegnungen!$C$119=C26,Begegnungen!$C$120=C26,Begegnungen!$C$121=C26,Begegnungen!$C$122=C26,Begegnungen!$C$123=C26),Begegnungen!$C$130,IF(OR(Begegnungen!$E$117=C26,Begegnungen!$E$118=C26,Begegnungen!$E$119=C26,Begegnungen!$E$120=C26,Begegnungen!$E$121=C26,Begegnungen!$E$122=C26,Begegnungen!$E$123=C26),Begegnungen!$E$130,""))</f>
        <v/>
      </c>
      <c r="S26" s="273" t="str">
        <f>IF(OR(Begegnungen!$I$117=C26,Begegnungen!$I$118=C26,Begegnungen!$I$119=C26,Begegnungen!$I$120=C26,Begegnungen!$I$121=C26,Begegnungen!$I$122=C26,Begegnungen!$I$123=C26),Begegnungen!$I$130,IF(OR(Begegnungen!$K$117=C26,Begegnungen!$K$118=C26,Begegnungen!$K$119=C26,Begegnungen!$K$120=C26,Begegnungen!$K$121=C26,Begegnungen!$K$122=C26,Begegnungen!$K$123=C26),Begegnungen!$K$130,""))</f>
        <v>3</v>
      </c>
      <c r="T26" s="273" t="str">
        <f>IF(OR(Begegnungen!$C$133=C26,Begegnungen!$C$134=C26,Begegnungen!$C$135=C26,Begegnungen!$C$136=C26,Begegnungen!$C$137=C26,Begegnungen!$C$138=C26,Begegnungen!$C$139=C26),Begegnungen!$C$146,IF(OR(Begegnungen!$E$133=C26,Begegnungen!$E$134=C26,Begegnungen!$E$135=C26,Begegnungen!$E$136=C26,Begegnungen!$E$137=C26,Begegnungen!$E$138=C26,Begegnungen!$E$139=C26),Begegnungen!$E$146,""))</f>
        <v>3</v>
      </c>
      <c r="U26" s="273" t="str">
        <f>IF(OR(Begegnungen!$I$133=C26,Begegnungen!$I$134=C26,Begegnungen!$I$135=C26,Begegnungen!$I$136=C26,Begegnungen!$I$137=C26,Begegnungen!$I$138=C26,Begegnungen!$I$139=C26),Begegnungen!$I$146,IF(OR(Begegnungen!$K$133=C26,Begegnungen!$K$134=C26,Begegnungen!$K$135=C26,Begegnungen!$K$136=C26,Begegnungen!$K$137=C26,Begegnungen!$K$138=C26,Begegnungen!$K$139=C26),Begegnungen!$K$146,""))</f>
        <v>3</v>
      </c>
      <c r="V26" s="273" t="str">
        <f>IF(OR(Begegnungen!$C$149=C26,Begegnungen!$C$150=C26,Begegnungen!$C$151=C26,Begegnungen!$C$152=C26,Begegnungen!$C$153=C26,Begegnungen!$C$154=C26,Begegnungen!$C$155=C26),Begegnungen!$C$162,IF(OR(Begegnungen!$E$149=C26,Begegnungen!$E$150=C26,Begegnungen!$E$151=C26,Begegnungen!$E$152=C26,Begegnungen!$E$153=C26,Begegnungen!$E$154=C26,Begegnungen!$E$155=C26),Begegnungen!$E$162,""))</f>
        <v/>
      </c>
      <c r="W26" s="273" t="str">
        <f>IF(OR(Begegnungen!$I$149=C26,Begegnungen!$I$150=C26,Begegnungen!$I$151=C26,Begegnungen!$I$152=C26,Begegnungen!$I$153=C26,Begegnungen!$I$154=C26,Begegnungen!$I$155=C26),Begegnungen!$I$162,IF(OR(Begegnungen!$K$149=C26,Begegnungen!$K$150=C26,Begegnungen!$K$151=C26,Begegnungen!$K$152=C26,Begegnungen!$K$153=C26,Begegnungen!$K$154=C26,Begegnungen!$K$155=C26),Begegnungen!$K$162,""))</f>
        <v>3</v>
      </c>
      <c r="X26" s="273" t="str">
        <f>IF(OR(Begegnungen!$C$165=C26,Begegnungen!$C$166=C26,Begegnungen!$C$167=C26,Begegnungen!$C$168=C26,Begegnungen!$C$169=C26,Begegnungen!$C$170=C26,Begegnungen!$C$171=C26),Begegnungen!$C$178,IF(OR(Begegnungen!$E$165=C26,Begegnungen!$E$166=C26,Begegnungen!$E$167=C26,Begegnungen!$E$168=C26,Begegnungen!$E$169=C26,Begegnungen!$E$170=C26,Begegnungen!$E$171=C26),Begegnungen!$E$178,""))</f>
        <v>0</v>
      </c>
      <c r="Y26" s="273" t="str">
        <f>IF(OR(Begegnungen!$I$165=C26,Begegnungen!$I$166=C26,Begegnungen!$I$167=C26,Begegnungen!$I$168=C26,Begegnungen!$I$169=C26,Begegnungen!$I$170=C26,Begegnungen!$I$171=C26),Begegnungen!$I$178,IF(OR(Begegnungen!$K$165=C26,Begegnungen!$K$166=C26,Begegnungen!$K$167=C26,Begegnungen!$K$168=C26,Begegnungen!$K$169=C26,Begegnungen!$K$170=C26,Begegnungen!$K$171=C26),Begegnungen!$K$178,""))</f>
        <v/>
      </c>
      <c r="Z26" s="273" t="str">
        <f>IF(OR(Begegnungen!$C$181=C26,Begegnungen!$C$182=C26,Begegnungen!$C$183=C26,Begegnungen!$C$184=C26,Begegnungen!$C$185=C26,Begegnungen!$C$186=C26,Begegnungen!$C$187=C26),Begegnungen!$C$194,IF(OR(Begegnungen!$E$181=C26,Begegnungen!$E$182=C26,Begegnungen!$E$183=C26,Begegnungen!$E$184=C26,Begegnungen!$E$185=C26,Begegnungen!$E$186=C26,Begegnungen!$E$187=C26),Begegnungen!$E$194,""))</f>
        <v>3</v>
      </c>
      <c r="AA26" s="273" t="str">
        <f>IF(OR(Begegnungen!$I$181=C26,Begegnungen!$I$182=C26,Begegnungen!$I$183=C26,Begegnungen!$I$184=C26,Begegnungen!$I$185=C26,Begegnungen!$I$186=C26,Begegnungen!$I$187=C26),Begegnungen!$I$194,IF(OR(Begegnungen!$K$181=C26,Begegnungen!$K$182=C26,Begegnungen!$K$183=C26,Begegnungen!$K$184=C26,Begegnungen!$K$185=C26,Begegnungen!$K$186=C26,Begegnungen!$K$187=C26),Begegnungen!$K$194,""))</f>
        <v>3</v>
      </c>
      <c r="AB26" s="273" t="str">
        <f>IF(OR(Begegnungen!$C$197=C26,Begegnungen!$C$198=C26,Begegnungen!$C$199=C26,Begegnungen!$C$200=C26,Begegnungen!$C$201=C26,Begegnungen!$C$202=C26,Begegnungen!$C$203=C26),Begegnungen!$C$210,IF(OR(Begegnungen!$E$197=C26,Begegnungen!$E$198=C26,Begegnungen!$E$199=C26,Begegnungen!$E$200=C26,Begegnungen!$E$201=C26,Begegnungen!$E$202=C26,Begegnungen!$E$203=C26),Begegnungen!$E$210,""))</f>
        <v>3</v>
      </c>
      <c r="AC26" s="273" t="str">
        <f>IF(OR(Begegnungen!$I$197=C26,Begegnungen!$I$198=C26,Begegnungen!$I$199=C26,Begegnungen!$I$200=C26,Begegnungen!$I$201=C26,Begegnungen!$I$202=C26,Begegnungen!$I$203=C26),Begegnungen!$I$210,IF(OR(Begegnungen!$K$197=C26,Begegnungen!$K$198=C26,Begegnungen!$K$199=C26,Begegnungen!$K$200=C26,Begegnungen!$K$201=C26,Begegnungen!$K$202=C26,Begegnungen!$K$203=C26),Begegnungen!$K$210,""))</f>
        <v/>
      </c>
      <c r="AD26" s="273" t="str">
        <f>IF(OR(Begegnungen!$C$213=C26,Begegnungen!$C$214=C26,Begegnungen!$C$215=C26,Begegnungen!$C$216=C26,Begegnungen!$C$217=C26,Begegnungen!$C$218=C26,Begegnungen!$C$219=C26),Begegnungen!$C$226,IF(OR(Begegnungen!$E$213=C26,Begegnungen!$E$214=C26,Begegnungen!$E$215=C26,Begegnungen!$E$216=C26,Begegnungen!$E$217=C26,Begegnungen!$E$218=C26,Begegnungen!$E$219=C26),Begegnungen!$E$226,""))</f>
        <v/>
      </c>
      <c r="AE26" s="273" t="str">
        <f>IF(OR(Begegnungen!$I$213=C26,Begegnungen!$I$214=C26,Begegnungen!$I$215=C26,Begegnungen!$I$216=C26,Begegnungen!$I$217=C26,Begegnungen!$I$218=C26,Begegnungen!$I$219=C26),Begegnungen!$I$226,IF(OR(Begegnungen!$K$213=C26,Begegnungen!$K$214=C26,Begegnungen!$K$215=C26,Begegnungen!$K$216=C26,Begegnungen!$K$217=C26,Begegnungen!$K$218=C26,Begegnungen!$K$219=C26),Begegnungen!$K$226,""))</f>
        <v/>
      </c>
      <c r="AF26" s="136" t="str">
        <f>IF(OR(Begegnungen!$C$229=C26,Begegnungen!$C$230=C26,Begegnungen!$C$231=C26,Begegnungen!$C$232=C26,Begegnungen!$C$233=C26,Begegnungen!$C$234=C26,Begegnungen!$C$235=C26),Begegnungen!$C$242,IF(OR(Begegnungen!$E$229=C26,Begegnungen!$E$230=C26,Begegnungen!$E$231=C26,Begegnungen!$E$232=C26,Begegnungen!$E$233=C26,Begegnungen!$E$234=C26,Begegnungen!$E$235=C26),Begegnungen!$E$242,""))</f>
        <v>3</v>
      </c>
      <c r="AG26" s="273" t="str">
        <f>IF(OR(Begegnungen!$I$229=C26,Begegnungen!$I$230=C26,Begegnungen!$I$231=C26,Begegnungen!$I$232=C26,Begegnungen!$I$233=C26,Begegnungen!$I$234=C26,Begegnungen!$I$235=C26),Begegnungen!$I$242,IF(OR(Begegnungen!$K$229=C26,Begegnungen!$K$230=C26,Begegnungen!$K$231=C26,Begegnungen!$K$232=C26,Begegnungen!$K$233=C26,Begegnungen!$K$234=C26,Begegnungen!$K$235=C26),Begegnungen!$K$242,""))</f>
        <v>0</v>
      </c>
      <c r="AH26" s="273" t="str">
        <f>IF(OR(Begegnungen!$C$245=C26,Begegnungen!$C$246=C26,Begegnungen!$C$247=C26,Begegnungen!$C$248=C26,Begegnungen!$C$249=C26,Begegnungen!$C$250=C26,Begegnungen!$C$251=C26),Begegnungen!$C$258,IF(OR(Begegnungen!$E$245=C26,Begegnungen!$E$246=C26,Begegnungen!$E$247=C26,Begegnungen!$E$248=C26,Begegnungen!$E$249=C26,Begegnungen!$E$250=C26,Begegnungen!$E$251=C26),Begegnungen!$E$258,""))</f>
        <v>3</v>
      </c>
      <c r="AI26" s="273" t="str">
        <f>IF(OR(Begegnungen!$I$245=C26,Begegnungen!$I$246=C26,Begegnungen!$I$247=C26,Begegnungen!$I$248=C26,Begegnungen!$I$249=C26,Begegnungen!$I$250=C26,Begegnungen!$I$251=C26),Begegnungen!$I$258,IF(OR(Begegnungen!$K$245=C26,Begegnungen!$K$246=C26,Begegnungen!$K$247=C26,Begegnungen!$K$248=C26,Begegnungen!$K$249=C26,Begegnungen!$K$250=C26,Begegnungen!$K$251=C26),Begegnungen!$K$258,""))</f>
        <v>3</v>
      </c>
      <c r="AJ26" s="273" t="str">
        <f>IF(OR(Begegnungen!$C$261=C26,Begegnungen!$C$262=C26,Begegnungen!$C$263=C26,Begegnungen!$C$264=C26,Begegnungen!$C$265=C26,Begegnungen!$C$266=C26,Begegnungen!$C$267=C26),Begegnungen!$C$274,IF(OR(Begegnungen!$E$261=C26,Begegnungen!$E$262=C26,Begegnungen!$E$263=C26,Begegnungen!$E$264=C26,Begegnungen!$E$265=C26,Begegnungen!$E$266=C26,Begegnungen!$E$267=C26),Begegnungen!$E$274,""))</f>
        <v>3</v>
      </c>
      <c r="AK26" s="273" t="str">
        <f>IF(OR(Begegnungen!$I$261=C26,Begegnungen!$I$262=C26,Begegnungen!$I$263=C26,Begegnungen!$I$264=C26,Begegnungen!$I$265=C26,Begegnungen!$I$266=C26,Begegnungen!$I$267=C26),Begegnungen!$I$274,IF(OR(Begegnungen!$K$261=C26,Begegnungen!$K$262=C26,Begegnungen!$K$263=C26,Begegnungen!$K$264=C26,Begegnungen!$K$265=C26,Begegnungen!$K$266=C26,Begegnungen!$K$267=C26),Begegnungen!$K$274,""))</f>
        <v>1</v>
      </c>
      <c r="AL26" s="273" t="str">
        <f>IF(OR(Begegnungen!$C$277=C26,Begegnungen!$C$278=C26,Begegnungen!$C$279=C26,Begegnungen!$C$280=C26,Begegnungen!$C$281=C26,Begegnungen!$C$282=C26,Begegnungen!$C$283=C26),Begegnungen!$C$290,IF(OR(Begegnungen!$E$277=C26,Begegnungen!$E$278=C26,Begegnungen!$E$279=C26,Begegnungen!$E$280=C26,Begegnungen!$E$281=C26,Begegnungen!$E$282=C26,Begegnungen!$E$283=C26),Begegnungen!$E$290,""))</f>
        <v/>
      </c>
      <c r="AM26" s="136" t="str">
        <f>IF(OR(Begegnungen!$I$277=C26,Begegnungen!$I$278=C26,Begegnungen!$I$279=C26,Begegnungen!$I$280=C26,Begegnungen!$I$281=C26,Begegnungen!$I$282=C26,Begegnungen!$I$283=C26),Begegnungen!$I$290,IF(OR(Begegnungen!$K$277=C26,Begegnungen!$K$278=C26,Begegnungen!$K$279=C26,Begegnungen!$K$280=C26,Begegnungen!$K$281=C26,Begegnungen!$K$282=C26,Begegnungen!$K$283=C26),Begegnungen!$K$290,""))</f>
        <v/>
      </c>
      <c r="AN26" s="273" t="str">
        <f>IF(OR(Begegnungen!$C$293=C26,Begegnungen!$C$294=C26,Begegnungen!$C$295=C26,Begegnungen!$C$296=C26,Begegnungen!$C$297=C26,Begegnungen!$C$298=C26,Begegnungen!$C$299=C26),Begegnungen!$C$306,IF(OR(Begegnungen!$E$293=C26,Begegnungen!$E$294=C26,Begegnungen!$E$295=C26,Begegnungen!$E$296=C26,Begegnungen!$E$297=C26,Begegnungen!$E$298=C26,Begegnungen!$E$299=C26),Begegnungen!$E$306,""))</f>
        <v/>
      </c>
      <c r="AO26" s="136" t="str">
        <f>IF(OR(Begegnungen!$I$293=C26,Begegnungen!$I$294=C26,Begegnungen!$I$295=C26,Begegnungen!$I$296=C26,Begegnungen!$I$297=C26,Begegnungen!$I$298=C26,Begegnungen!$I$299=C26),Begegnungen!$I$306,IF(OR(Begegnungen!$K$293=C26,Begegnungen!$K$294=C26,Begegnungen!$K$295=C26,Begegnungen!$K$296=C26,Begegnungen!$K$297=C26,Begegnungen!$K$298=C26,Begegnungen!$K$299=C26),Begegnungen!$K$306,""))</f>
        <v/>
      </c>
      <c r="AP26" s="136" t="str">
        <f>IF(OR(Begegnungen!$C$309=C26,Begegnungen!$C$310=C26,Begegnungen!$C$311=C26,Begegnungen!$C$312=C26,Begegnungen!$C$313=C26,Begegnungen!$C$314=C26,Begegnungen!$C$315=C26),Begegnungen!$C$322,IF(OR(Begegnungen!$E$309=C26,Begegnungen!$E$310=C26,Begegnungen!$E$311=C26,Begegnungen!$E$312=C26,Begegnungen!$E$313=C26,Begegnungen!$E$314=C26,Begegnungen!$E$315=C26),Begegnungen!$E$322,""))</f>
        <v/>
      </c>
      <c r="AQ26" s="273" t="str">
        <f>IF(OR(Begegnungen!$I$309=C26,Begegnungen!$I$310=C26,Begegnungen!$I$311=C26,Begegnungen!$I$312=C26,Begegnungen!$I$313=C26,Begegnungen!$I$314=C26,Begegnungen!$I$315=C26),Begegnungen!$I$322,IF(OR(Begegnungen!$K$309=C26,Begegnungen!$K$310=C26,Begegnungen!$K$311=C26,Begegnungen!$K$312=C26,Begegnungen!$K$313=C26,Begegnungen!$K$314=C26,Begegnungen!$K$315=C26),Begegnungen!$K$322,""))</f>
        <v>0</v>
      </c>
      <c r="AR26" s="18">
        <f>AW26*3+AX26</f>
        <v>44</v>
      </c>
      <c r="AS26" s="19">
        <f t="shared" si="10"/>
        <v>23</v>
      </c>
      <c r="AT26" s="20">
        <f t="shared" si="11"/>
        <v>1.1500000000000001</v>
      </c>
      <c r="AU26" s="21">
        <f t="shared" si="12"/>
        <v>3.0630434782608695</v>
      </c>
      <c r="AW26" s="70">
        <f t="shared" si="13"/>
        <v>14</v>
      </c>
      <c r="AX26" s="30">
        <f t="shared" si="14"/>
        <v>2</v>
      </c>
      <c r="AY26" s="71">
        <f t="shared" si="15"/>
        <v>7</v>
      </c>
    </row>
  </sheetData>
  <sortState xmlns:xlrd2="http://schemas.microsoft.com/office/spreadsheetml/2017/richdata2" ref="C7:C22">
    <sortCondition ref="C6"/>
  </sortState>
  <pageMargins left="0.7" right="0.7" top="0.78740157499999996" bottom="0.78740157499999996" header="0.3" footer="0.3"/>
  <pageSetup paperSize="8" scale="5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AT30"/>
  <sheetViews>
    <sheetView topLeftCell="A4" zoomScale="80" zoomScaleNormal="80" workbookViewId="0">
      <selection activeCell="R42" sqref="R42"/>
    </sheetView>
  </sheetViews>
  <sheetFormatPr defaultColWidth="11.42578125" defaultRowHeight="15" x14ac:dyDescent="0.25"/>
  <cols>
    <col min="1" max="1" width="2.28515625" customWidth="1"/>
    <col min="2" max="2" width="7" customWidth="1"/>
    <col min="3" max="3" width="13.85546875" bestFit="1" customWidth="1"/>
    <col min="4" max="4" width="5.140625" bestFit="1" customWidth="1"/>
    <col min="5" max="8" width="6.28515625" bestFit="1" customWidth="1"/>
    <col min="9" max="11" width="7.28515625" bestFit="1" customWidth="1"/>
    <col min="12" max="12" width="6.28515625" bestFit="1" customWidth="1"/>
    <col min="13" max="15" width="7.28515625" bestFit="1" customWidth="1"/>
    <col min="16" max="16" width="6.28515625" bestFit="1" customWidth="1"/>
    <col min="17" max="17" width="7.28515625" bestFit="1" customWidth="1"/>
    <col min="18" max="18" width="6" customWidth="1"/>
    <col min="19" max="19" width="6.7109375" bestFit="1" customWidth="1"/>
    <col min="20" max="22" width="6.28515625" bestFit="1" customWidth="1"/>
    <col min="23" max="23" width="5.140625" bestFit="1" customWidth="1"/>
    <col min="24" max="25" width="6.28515625" bestFit="1" customWidth="1"/>
    <col min="26" max="27" width="5.140625" bestFit="1" customWidth="1"/>
    <col min="28" max="29" width="6.28515625" bestFit="1" customWidth="1"/>
    <col min="30" max="30" width="5.7109375" customWidth="1"/>
    <col min="31" max="31" width="5.140625" bestFit="1" customWidth="1"/>
    <col min="32" max="34" width="6.28515625" bestFit="1" customWidth="1"/>
    <col min="35" max="35" width="5.140625" bestFit="1" customWidth="1"/>
    <col min="36" max="39" width="6.28515625" bestFit="1" customWidth="1"/>
    <col min="40" max="40" width="5.140625" bestFit="1" customWidth="1"/>
    <col min="41" max="41" width="5.5703125" customWidth="1"/>
    <col min="42" max="43" width="6.28515625" bestFit="1" customWidth="1"/>
    <col min="44" max="44" width="7.85546875" customWidth="1"/>
    <col min="45" max="45" width="10" customWidth="1"/>
    <col min="46" max="46" width="14.42578125" customWidth="1"/>
    <col min="47" max="47" width="11.28515625" bestFit="1" customWidth="1"/>
    <col min="48" max="48" width="13" bestFit="1" customWidth="1"/>
    <col min="49" max="49" width="8" customWidth="1"/>
    <col min="50" max="50" width="5.5703125" customWidth="1"/>
    <col min="51" max="51" width="5" customWidth="1"/>
    <col min="52" max="52" width="6" customWidth="1"/>
    <col min="53" max="53" width="4.7109375" customWidth="1"/>
  </cols>
  <sheetData>
    <row r="4" spans="2:46" ht="15.75" thickBot="1" x14ac:dyDescent="0.3">
      <c r="B4" s="43"/>
      <c r="C4" s="67"/>
      <c r="D4" s="41">
        <v>1</v>
      </c>
      <c r="E4" s="41">
        <v>2</v>
      </c>
      <c r="F4" s="41">
        <v>3</v>
      </c>
      <c r="G4" s="41">
        <v>4</v>
      </c>
      <c r="H4" s="41">
        <v>5</v>
      </c>
      <c r="I4" s="41">
        <v>6</v>
      </c>
      <c r="J4" s="41">
        <v>7</v>
      </c>
      <c r="K4" s="41">
        <v>8</v>
      </c>
      <c r="L4" s="41">
        <v>9</v>
      </c>
      <c r="M4" s="41">
        <v>10</v>
      </c>
      <c r="N4" s="41">
        <v>11</v>
      </c>
      <c r="O4" s="41">
        <v>12</v>
      </c>
      <c r="P4" s="41">
        <v>13</v>
      </c>
      <c r="Q4" s="41">
        <v>14</v>
      </c>
      <c r="R4" s="41">
        <v>15</v>
      </c>
      <c r="S4" s="41">
        <v>16</v>
      </c>
      <c r="T4" s="41">
        <v>17</v>
      </c>
      <c r="U4" s="41">
        <v>18</v>
      </c>
      <c r="V4" s="41">
        <v>19</v>
      </c>
      <c r="W4" s="41">
        <v>20</v>
      </c>
      <c r="X4" s="41">
        <v>21</v>
      </c>
      <c r="Y4" s="41">
        <v>22</v>
      </c>
      <c r="Z4" s="41">
        <v>23</v>
      </c>
      <c r="AA4" s="41">
        <v>24</v>
      </c>
      <c r="AB4" s="41">
        <v>25</v>
      </c>
      <c r="AC4" s="41">
        <v>26</v>
      </c>
      <c r="AD4" s="41">
        <v>27</v>
      </c>
      <c r="AE4" s="41">
        <v>28</v>
      </c>
      <c r="AF4" s="41">
        <v>29</v>
      </c>
      <c r="AG4" s="41">
        <v>30</v>
      </c>
      <c r="AH4" s="41">
        <v>31</v>
      </c>
      <c r="AI4" s="41">
        <v>32</v>
      </c>
      <c r="AJ4" s="41">
        <v>33</v>
      </c>
      <c r="AK4" s="41">
        <v>34</v>
      </c>
      <c r="AL4" s="41">
        <v>35</v>
      </c>
      <c r="AM4" s="41">
        <v>36</v>
      </c>
      <c r="AN4" s="41">
        <v>37</v>
      </c>
      <c r="AO4" s="41">
        <v>38</v>
      </c>
      <c r="AP4" s="41">
        <v>39</v>
      </c>
      <c r="AQ4" s="41">
        <v>40</v>
      </c>
    </row>
    <row r="5" spans="2:46" ht="15.75" thickBot="1" x14ac:dyDescent="0.3">
      <c r="B5" s="5" t="s">
        <v>3</v>
      </c>
      <c r="C5" s="5"/>
      <c r="D5" s="10">
        <f>Spiele!D5</f>
        <v>45538</v>
      </c>
      <c r="E5" s="10">
        <f>Spiele!E5</f>
        <v>45545</v>
      </c>
      <c r="F5" s="10">
        <f>Spiele!F5</f>
        <v>45552</v>
      </c>
      <c r="G5" s="10">
        <f>Spiele!G5</f>
        <v>45559</v>
      </c>
      <c r="H5" s="10">
        <f>Spiele!H5</f>
        <v>45566</v>
      </c>
      <c r="I5" s="10">
        <f>Spiele!I5</f>
        <v>45573</v>
      </c>
      <c r="J5" s="10">
        <f>Spiele!J5</f>
        <v>45580</v>
      </c>
      <c r="K5" s="10">
        <f>Spiele!K5</f>
        <v>45587</v>
      </c>
      <c r="L5" s="10">
        <f>Spiele!L5</f>
        <v>45594</v>
      </c>
      <c r="M5" s="10">
        <f>Spiele!M5</f>
        <v>45601</v>
      </c>
      <c r="N5" s="10">
        <f>Spiele!N5</f>
        <v>45608</v>
      </c>
      <c r="O5" s="10">
        <f>Spiele!O5</f>
        <v>45615</v>
      </c>
      <c r="P5" s="10">
        <f>Spiele!P5</f>
        <v>45622</v>
      </c>
      <c r="Q5" s="10">
        <f>Spiele!Q5</f>
        <v>45629</v>
      </c>
      <c r="R5" s="10">
        <f>Spiele!R5</f>
        <v>45643</v>
      </c>
      <c r="S5" s="10">
        <f>Spiele!S5</f>
        <v>45664</v>
      </c>
      <c r="T5" s="10">
        <f>Spiele!T5</f>
        <v>45671</v>
      </c>
      <c r="U5" s="10">
        <f>Spiele!U5</f>
        <v>45678</v>
      </c>
      <c r="V5" s="10">
        <f>Spiele!V5</f>
        <v>45685</v>
      </c>
      <c r="W5" s="10">
        <f>Spiele!W5</f>
        <v>45692</v>
      </c>
      <c r="X5" s="10">
        <f>Spiele!X5</f>
        <v>45699</v>
      </c>
      <c r="Y5" s="10">
        <f>Spiele!Y5</f>
        <v>45706</v>
      </c>
      <c r="Z5" s="10">
        <f>Spiele!Z5</f>
        <v>45713</v>
      </c>
      <c r="AA5" s="10">
        <f>Spiele!AA5</f>
        <v>45720</v>
      </c>
      <c r="AB5" s="10">
        <f>Spiele!AB5</f>
        <v>45727</v>
      </c>
      <c r="AC5" s="10">
        <f>Spiele!AC5</f>
        <v>45734</v>
      </c>
      <c r="AD5" s="10">
        <f>Spiele!AD5</f>
        <v>45741</v>
      </c>
      <c r="AE5" s="10">
        <f>Spiele!AE5</f>
        <v>45748</v>
      </c>
      <c r="AF5" s="10">
        <f>Spiele!AF5</f>
        <v>45755</v>
      </c>
      <c r="AG5" s="10">
        <f>Spiele!AG5</f>
        <v>45762</v>
      </c>
      <c r="AH5" s="10">
        <f>Spiele!AH5</f>
        <v>45769</v>
      </c>
      <c r="AI5" s="10">
        <f>Spiele!AI5</f>
        <v>45776</v>
      </c>
      <c r="AJ5" s="10">
        <f>Spiele!AJ5</f>
        <v>45783</v>
      </c>
      <c r="AK5" s="10">
        <f>Spiele!AK5</f>
        <v>45790</v>
      </c>
      <c r="AL5" s="10">
        <f>Spiele!AL5</f>
        <v>45797</v>
      </c>
      <c r="AM5" s="10">
        <f>Spiele!AM5</f>
        <v>45804</v>
      </c>
      <c r="AN5" s="10">
        <f>Spiele!AN5</f>
        <v>45811</v>
      </c>
      <c r="AO5" s="10">
        <f>Spiele!AO5</f>
        <v>45818</v>
      </c>
      <c r="AP5" s="10"/>
      <c r="AQ5" s="10"/>
      <c r="AR5" s="79" t="s">
        <v>79</v>
      </c>
      <c r="AS5" s="138" t="s">
        <v>29</v>
      </c>
      <c r="AT5" s="137" t="s">
        <v>80</v>
      </c>
    </row>
    <row r="6" spans="2:46" x14ac:dyDescent="0.25">
      <c r="B6" s="6">
        <v>1</v>
      </c>
      <c r="C6" s="65" t="s">
        <v>20</v>
      </c>
      <c r="D6" s="66" t="str">
        <f>IF(OR(Begegnungen!$C$3=C6,Begegnungen!$C$4=C6,Begegnungen!$C$5=C6,Begegnungen!$C$6=C6,Begegnungen!$C$7=C6,Begegnungen!$C$8=C6,Begegnungen!$C$9=C6),Begegnungen!$E$13,IF(OR(Begegnungen!$E$3=C6,Begegnungen!$E$4=C6,Begegnungen!$E$5=C6,Begegnungen!$E$6=C6,Begegnungen!$E$7=C6,Begegnungen!$E$8=C6,Begegnungen!$E$9=C6),Begegnungen!$C$13,""))</f>
        <v/>
      </c>
      <c r="E6" s="66" t="str">
        <f>IF(OR(Begegnungen!$I$3=C6,Begegnungen!$I$4=C6,Begegnungen!$I$5=C6,Begegnungen!$I$6=C6,Begegnungen!$I$7=C6,Begegnungen!$I$8=C6,Begegnungen!$I$9=C6),Begegnungen!$K$13,IF(OR(Begegnungen!$K$3=C6,Begegnungen!$K$4=C6,Begegnungen!$K$5=C6,Begegnungen!$K$6=C6,Begegnungen!$K$7=C6,Begegnungen!$K$8=C6,Begegnungen!$K$9=C6),Begegnungen!$I$13,""))</f>
        <v/>
      </c>
      <c r="F6" s="66" t="str">
        <f>IF(OR(Begegnungen!$C$19=C6,Begegnungen!$C$20=C6,Begegnungen!$C$21=C6,Begegnungen!$C$22=C6,Begegnungen!$C$23=C6,Begegnungen!$C$24=C6,Begegnungen!$C$25=C6),Begegnungen!$E$29,IF(OR(Begegnungen!$E$19=C6,Begegnungen!$E$20=C6,Begegnungen!$E$21=C6,Begegnungen!$E$22=C6,Begegnungen!$E$23=C6,Begegnungen!$E$24=C6,Begegnungen!$E$25=C6),Begegnungen!$C$29,""))</f>
        <v/>
      </c>
      <c r="G6" s="66" t="str">
        <f>IF(OR(Begegnungen!$I$19=C6,Begegnungen!$I$20=C6,Begegnungen!$I$21=C6,Begegnungen!$I$22=C6,Begegnungen!$I$23=C6,Begegnungen!$I$24=C6,Begegnungen!$I$25=C6),Begegnungen!$K$29,IF(OR(Begegnungen!$K$19=C6,Begegnungen!$K$20=C6,Begegnungen!$K$21=C6,Begegnungen!$K$22=C6,Begegnungen!$K$23=C6,Begegnungen!$K$24=C6,Begegnungen!$K$25=C6),Begegnungen!$I$29,""))</f>
        <v/>
      </c>
      <c r="H6" s="66" t="str">
        <f>IF(OR(Begegnungen!$C$35=C6,Begegnungen!$C$36=C6,Begegnungen!$C$37=C6,Begegnungen!$C$38=C6,Begegnungen!$C$39=C6,Begegnungen!$C$40=C6,Begegnungen!$C$41=C6),Begegnungen!$E$46,IF(OR(Begegnungen!$E$35=C6,Begegnungen!$E$36=C6,Begegnungen!$E$37=C6,Begegnungen!$E$38=C6,Begegnungen!$E$39=C6,Begegnungen!$E$40=C6,Begegnungen!$E$41=C6),Begegnungen!$C$46,""))</f>
        <v/>
      </c>
      <c r="I6" s="66" t="str">
        <f>IF(OR(Begegnungen!$I$35=C6,Begegnungen!$I$36=C6,Begegnungen!$I$37=C6,Begegnungen!$I$38=C6,Begegnungen!$I$39=C6,Begegnungen!$I$40=C6,Begegnungen!$I$41=C6),Begegnungen!$K$46,IF(OR(Begegnungen!$K$35=C6,Begegnungen!$K$36=C6,Begegnungen!$K$37=C6,Begegnungen!$K$38=C6,Begegnungen!$K$39=C6,Begegnungen!$K$40=C6,Begegnungen!$K$41=C6),Begegnungen!$I$46,""))</f>
        <v/>
      </c>
      <c r="J6" s="136" t="str">
        <f>IF(OR(Begegnungen!$C$52=C6,Begegnungen!$C$53=C6,Begegnungen!$C$54=C6,Begegnungen!$C$55=C6,Begegnungen!$C$56=C6,Begegnungen!$C$57=C6,Begegnungen!$C$58=C6),Begegnungen!$E$62,IF(OR(Begegnungen!$E$52=C6,Begegnungen!$E$53=C6,Begegnungen!$E$54=C6,Begegnungen!$E$55=C6,Begegnungen!$E$56=C6,Begegnungen!$E$57=C6,Begegnungen!$E$58=C6),Begegnungen!$C$62,""))</f>
        <v/>
      </c>
      <c r="K6" s="66" t="str">
        <f>IF(OR(Begegnungen!$I$52=C6,Begegnungen!$I$53=C6,Begegnungen!$I$54=C6,Begegnungen!$I$55=C6,Begegnungen!$I$56=C6,Begegnungen!$I$57=C6,Begegnungen!$I$58=C6),Begegnungen!$K$62,IF(OR(Begegnungen!$K$52=C6,Begegnungen!$K$53=C6,Begegnungen!$K$54=C6,Begegnungen!$K$55=C6,Begegnungen!$K$56=C6,Begegnungen!$K$57=C6,Begegnungen!$K$58=C6),Begegnungen!$I$62,""))</f>
        <v/>
      </c>
      <c r="L6" s="136" t="str">
        <f>IF(OR(Begegnungen!$C68=C6,Begegnungen!$C$69=C6,Begegnungen!$C$70=C6,Begegnungen!$C$71=C6,Begegnungen!$C$72=C6,Begegnungen!$C$73=C6,Begegnungen!$C$74=C6),Begegnungen!$E$78,IF(OR(Begegnungen!$E$68=C6,Begegnungen!$E$69=C6,Begegnungen!$E$70=C6,Begegnungen!$E$71=C6,Begegnungen!$E$72=C6,Begegnungen!$E$73=C6,Begegnungen!$E$74=C6),Begegnungen!$C$78,""))</f>
        <v/>
      </c>
      <c r="M6" s="66" t="str">
        <f>IF(OR(Begegnungen!$I68=C6,Begegnungen!$I$69=C6,Begegnungen!$I$70=C6,Begegnungen!$I$71=C6,Begegnungen!$I$72=C6,Begegnungen!$I$73=C6,Begegnungen!$I$74=C6),Begegnungen!$K$78,IF(OR(Begegnungen!$K$68=C6,Begegnungen!$K$69=C6,Begegnungen!$K$70=C6,Begegnungen!$K$71=C6,Begegnungen!$K$72=C6,Begegnungen!$K$73=C6,Begegnungen!$K$74=C6),Begegnungen!$I$78,""))</f>
        <v/>
      </c>
      <c r="N6" s="66" t="str">
        <f>IF(OR(Begegnungen!$C84=C6,Begegnungen!$C$85=C6,Begegnungen!$C$86=C6,Begegnungen!$C$87=C6,Begegnungen!$C$88=C6,Begegnungen!$C$89=C6,Begegnungen!$C$90=C6),Begegnungen!$E$95,IF(OR(Begegnungen!$E$84=C6,Begegnungen!$E$85=C6,Begegnungen!$E$86=C6,Begegnungen!$E$87=C6,Begegnungen!$E$88=C6,Begegnungen!$E$89=C6,Begegnungen!$E$90=C6),Begegnungen!$C$95,""))</f>
        <v/>
      </c>
      <c r="O6" s="66" t="str">
        <f>IF(OR(Begegnungen!$I84=C6,Begegnungen!$I$85=C6,Begegnungen!$I$86=C6,Begegnungen!$I$87=C6,Begegnungen!$I$88=C6,Begegnungen!$I$89=C6,Begegnungen!$I$90=C6),Begegnungen!$K$95,IF(OR(Begegnungen!$K$84=C6,Begegnungen!$K$85=C6,Begegnungen!$K$86=C6,Begegnungen!$K$87=C6,Begegnungen!$K$88=C6,Begegnungen!$K$89=C6,Begegnungen!$K$90=C6),Begegnungen!$I$95,""))</f>
        <v/>
      </c>
      <c r="P6" s="66" t="str">
        <f>IF(OR(Begegnungen!$C101=C6,Begegnungen!$C$102=C6,Begegnungen!$C$103=C6,Begegnungen!$C$104=C6,Begegnungen!$C$105=C6,Begegnungen!$C$106=C6,Begegnungen!$C$107=C6),Begegnungen!$E$111,IF(OR(Begegnungen!$E$101=C6,Begegnungen!$E$102=C6,Begegnungen!$E$103=C6,Begegnungen!$E$104=C6,Begegnungen!$E$105=C6,Begegnungen!$E$106=C6,Begegnungen!$E$107=C6),Begegnungen!$C$111,""))</f>
        <v/>
      </c>
      <c r="Q6" s="66" t="str">
        <f>IF(OR(Begegnungen!$I101=C6,Begegnungen!$I$102=C6,Begegnungen!$I$103=C6,Begegnungen!$I$104=C6,Begegnungen!$I$105=C6,Begegnungen!$I$106=C6,Begegnungen!$I$107=C6),Begegnungen!$K$111,IF(OR(Begegnungen!$K$101=C6,Begegnungen!$K$102=C6,Begegnungen!$K$103=C6,Begegnungen!$K$104=C6,Begegnungen!$K$105=C6,Begegnungen!$K$106=C6,Begegnungen!$K$107=C6),Begegnungen!$I$111,""))</f>
        <v/>
      </c>
      <c r="R6" s="136" t="str">
        <f>IF(OR(Begegnungen!$C117=C6,Begegnungen!$C$118=C6,Begegnungen!$C$119=C6,Begegnungen!$C$120=C6,Begegnungen!$C$121=C6,Begegnungen!$C$122=C6,Begegnungen!$C$123=C6),Begegnungen!$E$127,IF(OR(Begegnungen!$E$117=C6,Begegnungen!$E$118=C6,Begegnungen!$E$119=C6,Begegnungen!$E$120=C6,Begegnungen!$E$121=C6,Begegnungen!$E$122=C6,Begegnungen!$E$123=C6),Begegnungen!$C$127,""))</f>
        <v/>
      </c>
      <c r="S6" s="66" t="str">
        <f>IF(OR(Begegnungen!$I$117=C6,Begegnungen!$I$118=C6,Begegnungen!$I$119=C6,Begegnungen!$I$120=C6,Begegnungen!$I$121=C6,Begegnungen!$I$122=C6,Begegnungen!$I$123=C6),Begegnungen!$K$127,IF(OR(Begegnungen!$K$117=C6,Begegnungen!$K$118=C6,Begegnungen!$K$119=C6,Begegnungen!$K$120=C6,Begegnungen!$K$121=C6,Begegnungen!$K$122=C6,Begegnungen!$K$123=C6),Begegnungen!$I$127,""))</f>
        <v/>
      </c>
      <c r="T6" s="66" t="str">
        <f>IF(OR(Begegnungen!$C133=C6,Begegnungen!$C$134=C6,Begegnungen!$C$135=C6,Begegnungen!$C$136=C6,Begegnungen!$C$137=C6,Begegnungen!$C$138=C6,Begegnungen!$C$139=C6),Begegnungen!$E$143,IF(OR(Begegnungen!$E$133=C6,Begegnungen!$E$134=C6,Begegnungen!$E$135=C6,Begegnungen!$E$136=C6,Begegnungen!$E$137=C6,Begegnungen!$E$138=C6,Begegnungen!$E$139=C6),Begegnungen!$C$143,""))</f>
        <v/>
      </c>
      <c r="U6" s="66" t="str">
        <f>IF(OR(Begegnungen!$I133=C6,Begegnungen!$I$134=C6,Begegnungen!$I$135=C6,Begegnungen!$I$136=C6,Begegnungen!$I$137=C6,Begegnungen!$I$138=C6,Begegnungen!$I$139=C6),Begegnungen!$K$143,IF(OR(Begegnungen!$K$133=C6,Begegnungen!$K$134=C6,Begegnungen!$K$135=C6,Begegnungen!$K$136=C6,Begegnungen!$K$137=C6,Begegnungen!$K$138=C6,Begegnungen!$K$139=C6),Begegnungen!$I$143,""))</f>
        <v/>
      </c>
      <c r="V6" s="66" t="str">
        <f>IF(OR(Begegnungen!$C149=C6,Begegnungen!$C$150=C6,Begegnungen!$C$151=C6,Begegnungen!$C$152=C6,Begegnungen!$C$153=C6,Begegnungen!$C$154=C6,Begegnungen!$C$155=C6),Begegnungen!$E$159,IF(OR(Begegnungen!$E$149=C6,Begegnungen!$E$150=C6,Begegnungen!$E$151=C6,Begegnungen!$E$152=C6,Begegnungen!$E$153=C6,Begegnungen!$E$154=C6,Begegnungen!$E$155=C6),Begegnungen!$C$159,""))</f>
        <v/>
      </c>
      <c r="W6" s="66" t="str">
        <f>IF(OR(Begegnungen!$I149=C6,Begegnungen!$I$150=C6,Begegnungen!$I$151=C6,Begegnungen!$I$152=C6,Begegnungen!$I$153=C6,Begegnungen!$I$154=C6,Begegnungen!$I$155=C6),Begegnungen!$K$159,IF(OR(Begegnungen!$K$149=C6,Begegnungen!$K$150=C6,Begegnungen!$K$151=C6,Begegnungen!$K$152=C6,Begegnungen!$K$153=C6,Begegnungen!$K$154=C6,Begegnungen!$K$155=C6),Begegnungen!$I$159,""))</f>
        <v/>
      </c>
      <c r="X6" s="66" t="str">
        <f>IF(OR(Begegnungen!$C165=C6,Begegnungen!$C$166=C6,Begegnungen!$C$167=C6,Begegnungen!$C$168=C6,Begegnungen!$C$169=C6,Begegnungen!$C$170=C6,Begegnungen!$C$171=C6),Begegnungen!$E$175,IF(OR(Begegnungen!$E$165=C6,Begegnungen!$E$166=C6,Begegnungen!$E$167=C6,Begegnungen!$E$168=C6,Begegnungen!$E$169=C6,Begegnungen!$E$170=C6,Begegnungen!$E$171=C6),Begegnungen!$C$175,""))</f>
        <v/>
      </c>
      <c r="Y6" s="66" t="str">
        <f>IF(OR(Begegnungen!$I165=C6,Begegnungen!$I$166=C6,Begegnungen!$I$167=C6,Begegnungen!$I$168=C6,Begegnungen!$I$169=C6,Begegnungen!$I$170=C6,Begegnungen!$I$171=C6),Begegnungen!$K$175,IF(OR(Begegnungen!$K$165=C6,Begegnungen!$K$166=C6,Begegnungen!$K$167=C6,Begegnungen!$K$168=C6,Begegnungen!$K$169=C6,Begegnungen!$K$170=C6,Begegnungen!$K$171=C6),Begegnungen!$I$175,""))</f>
        <v/>
      </c>
      <c r="Z6" s="66" t="str">
        <f>IF(OR(Begegnungen!$C181=C6,Begegnungen!$C$182=C6,Begegnungen!$C$183=C6,Begegnungen!$C$184=C6,Begegnungen!$C$185=C6,Begegnungen!$C$186=C6,Begegnungen!$C$187=C6),Begegnungen!$E$191,IF(OR(Begegnungen!$E$181=C6,Begegnungen!$E$182=C6,Begegnungen!$E$183=C6,Begegnungen!$E$184=C6,Begegnungen!$E$185=C6,Begegnungen!$E$186=C6,Begegnungen!$E$187=C6),Begegnungen!$C$191,""))</f>
        <v/>
      </c>
      <c r="AA6" s="66" t="str">
        <f>IF(OR(Begegnungen!$I181=C6,Begegnungen!$I$182=C6,Begegnungen!$I$183=C6,Begegnungen!$I$184=C6,Begegnungen!$I$185=C6,Begegnungen!$I$186=C6,Begegnungen!$I$187=C6),Begegnungen!$K$191,IF(OR(Begegnungen!$K$181=C6,Begegnungen!$K$182=C6,Begegnungen!$K$183=C6,Begegnungen!$K$184=C6,Begegnungen!$K$185=C6,Begegnungen!$K$186=C6,Begegnungen!$K$187=C6),Begegnungen!$I$191,""))</f>
        <v/>
      </c>
      <c r="AB6" s="66" t="str">
        <f>IF(OR(Begegnungen!$C197=C6,Begegnungen!$C$198=C6,Begegnungen!$C$199=C6,Begegnungen!$C$200=C6,Begegnungen!$C$201=C6,Begegnungen!$C$202=C6,Begegnungen!$C$203=C6),Begegnungen!$E$207,IF(OR(Begegnungen!$E$197=C6,Begegnungen!$E$198=C6,Begegnungen!$E$199=C6,Begegnungen!$E$200=C6,Begegnungen!$E$201=C6,Begegnungen!$E$202=C6,Begegnungen!$E$203=C6),Begegnungen!$C$207,""))</f>
        <v/>
      </c>
      <c r="AC6" s="66" t="str">
        <f>IF(OR(Begegnungen!$I197=C6,Begegnungen!$I$198=C6,Begegnungen!$I$199=C6,Begegnungen!$I$200=C6,Begegnungen!$I$201=C6,Begegnungen!$I$202=C6,Begegnungen!$I$203=C6),Begegnungen!$K$207,IF(OR(Begegnungen!$K$197=C6,Begegnungen!$K$198=C6,Begegnungen!$K$199=C6,Begegnungen!$K$200=C6,Begegnungen!$K$201=C6,Begegnungen!$K$202=C6,Begegnungen!$K$203=C6),Begegnungen!$I$207,""))</f>
        <v/>
      </c>
      <c r="AD6" s="66" t="str">
        <f>IF(OR(Begegnungen!$C213=C6,Begegnungen!$C$214=C6,Begegnungen!$C$215=C6,Begegnungen!$C$216=C6,Begegnungen!$C$217=C6,Begegnungen!$C$218=C6,Begegnungen!$C$219=C6),Begegnungen!$E$223,IF(OR(Begegnungen!$E$213=C6,Begegnungen!$E$214=C6,Begegnungen!$E$215=C6,Begegnungen!$E$216=C6,Begegnungen!$E$217=C6,Begegnungen!$E$218=C6,Begegnungen!$E$219=C6),Begegnungen!$C$223,""))</f>
        <v/>
      </c>
      <c r="AE6" s="66" t="str">
        <f>IF(OR(Begegnungen!$I213=C6,Begegnungen!$I$214=C6,Begegnungen!$I$215=C6,Begegnungen!$I$216=C6,Begegnungen!$I$217=C6,Begegnungen!$I$218=C6,Begegnungen!$I$219=C6),Begegnungen!$K$223,IF(OR(Begegnungen!$K$213=C6,Begegnungen!$K$214=C6,Begegnungen!$K$215=C6,Begegnungen!$K$216=C6,Begegnungen!$K$217=C6,Begegnungen!$K$218=C6,Begegnungen!$K$219=C6),Begegnungen!$I$223,""))</f>
        <v/>
      </c>
      <c r="AF6" s="136" t="str">
        <f>IF(OR(Begegnungen!$C229=C6,Begegnungen!$C$230=C6,Begegnungen!$C$231=C6,Begegnungen!$C$232=C6,Begegnungen!$C$233=C6,Begegnungen!$C$234=C6,Begegnungen!$C$235=C6),Begegnungen!$E$239,IF(OR(Begegnungen!$E$229=C6,Begegnungen!$E$230=C6,Begegnungen!$E$231=C6,Begegnungen!$E$232=C6,Begegnungen!$E$233=C6,Begegnungen!$E$234=C6,Begegnungen!$E$235=C6),Begegnungen!$C$239,""))</f>
        <v/>
      </c>
      <c r="AG6" s="66" t="str">
        <f>IF(OR(Begegnungen!$I229=C6,Begegnungen!$I$230=C6,Begegnungen!$I$231=C6,Begegnungen!$I$232=C6,Begegnungen!$I$233=C6,Begegnungen!$I$234=C6,Begegnungen!$I$235=C6),Begegnungen!$K$239,IF(OR(Begegnungen!$K$229=C6,Begegnungen!$K$230=C6,Begegnungen!$K$231=C6,Begegnungen!$K$232=C6,Begegnungen!$K$233=C6,Begegnungen!$K$234=C6,Begegnungen!$K$235=C6),Begegnungen!$I$239,""))</f>
        <v/>
      </c>
      <c r="AH6" s="66" t="str">
        <f>IF(OR(Begegnungen!$C245=C6,Begegnungen!$C$246=C6,Begegnungen!$C$247=C6,Begegnungen!$C$248=C6,Begegnungen!$C$249=C6,Begegnungen!$C$250=C6,Begegnungen!$C$251=C6),Begegnungen!$E$255,IF(OR(Begegnungen!$E$245=C6,Begegnungen!$E$246=C6,Begegnungen!$E$247=C6,Begegnungen!$E$248=C6,Begegnungen!$E$249=C6,Begegnungen!$E$250=C6,Begegnungen!$E$251=C6),Begegnungen!$C$255,""))</f>
        <v/>
      </c>
      <c r="AI6" s="66" t="str">
        <f>IF(OR(Begegnungen!$I245=C6,Begegnungen!$I$246=C6,Begegnungen!$I$247=C6,Begegnungen!$I$248=C6,Begegnungen!$I$249=C6,Begegnungen!$I$250=C6,Begegnungen!$I$251=C6),Begegnungen!$K$255,IF(OR(Begegnungen!$K$245=C6,Begegnungen!$K$246=C6,Begegnungen!$K$247=C6,Begegnungen!$K$248=C6,Begegnungen!$K$249=C6,Begegnungen!$K$250=C6,Begegnungen!$K$251=C6),Begegnungen!$I$255,""))</f>
        <v/>
      </c>
      <c r="AJ6" s="66" t="str">
        <f>IF(OR(Begegnungen!$C261=C6,Begegnungen!$C$262=C6,Begegnungen!$C$263=C6,Begegnungen!$C$264=C6,Begegnungen!$C$265=C6,Begegnungen!$C$266=C6,Begegnungen!$C$267=C6),Begegnungen!$E$271,IF(OR(Begegnungen!$E$261=C6,Begegnungen!$E$262=C6,Begegnungen!$E$263=C6,Begegnungen!$E$264=C6,Begegnungen!$E$265=C6,Begegnungen!$E$266=C6,Begegnungen!$E$267=C6),Begegnungen!$C$271,""))</f>
        <v/>
      </c>
      <c r="AK6" s="66" t="str">
        <f>IF(OR(Begegnungen!$I261=C6,Begegnungen!$I$262=C6,Begegnungen!$I$263=C6,Begegnungen!$I$264=C6,Begegnungen!$I$265=C6,Begegnungen!$I$266=C6,Begegnungen!$I$267=C6),Begegnungen!$K$271,IF(OR(Begegnungen!$K$261=C6,Begegnungen!$K$262=C6,Begegnungen!$K$263=C6,Begegnungen!$K$264=C6,Begegnungen!$K$265=C6,Begegnungen!$K$266=C6,Begegnungen!$K$267=C6),Begegnungen!$I$271,""))</f>
        <v/>
      </c>
      <c r="AL6" s="66" t="str">
        <f>IF(OR(Begegnungen!$C277=C6,Begegnungen!$C$278=C6,Begegnungen!$C$279=C6,Begegnungen!$C$280=C6,Begegnungen!$C$281=C6,Begegnungen!$C$282=C6,Begegnungen!$C$283=C6),Begegnungen!$E$287,IF(OR(Begegnungen!$E$277=C6,Begegnungen!$E$278=C6,Begegnungen!$E$279=C6,Begegnungen!$E$280=C6,Begegnungen!$E$281=C6,Begegnungen!$E$282=C6,Begegnungen!$E$283=C6),Begegnungen!$C$287,""))</f>
        <v/>
      </c>
      <c r="AM6" s="136" t="str">
        <f>IF(OR(Begegnungen!$I277=C6,Begegnungen!$I$278=C6,Begegnungen!$I$279=C6,Begegnungen!$I$280=C6,Begegnungen!$I$281=C6,Begegnungen!$I$282=C6,Begegnungen!$I$283=C6),Begegnungen!$K$287,IF(OR(Begegnungen!$K$277=C6,Begegnungen!$K$278=C6,Begegnungen!$K$279=C6,Begegnungen!$K$280=C6,Begegnungen!$K$281=C6,Begegnungen!$K$282=C6,Begegnungen!$K$283=C6),Begegnungen!$I$287,""))</f>
        <v/>
      </c>
      <c r="AN6" s="66" t="str">
        <f>IF(OR(Begegnungen!$C293=C6,Begegnungen!$C$294=C6,Begegnungen!$C$295=C6,Begegnungen!$C$296=C6,Begegnungen!$C$297=C6,Begegnungen!$C$298=C6,Begegnungen!$C$299=C6),Begegnungen!$E$303,IF(OR(Begegnungen!$E$293=C6,Begegnungen!$E$294=C6,Begegnungen!$E$295=C6,Begegnungen!$E$296=C6,Begegnungen!$E$297=C6,Begegnungen!$E$298=C6,Begegnungen!$E$299=C6),Begegnungen!$C$303,""))</f>
        <v/>
      </c>
      <c r="AO6" s="136" t="str">
        <f>IF(OR(Begegnungen!$I293=C6,Begegnungen!$I$294=C6,Begegnungen!$I$295=C6,Begegnungen!$I$296=C6,Begegnungen!$I$297=C6,Begegnungen!$I$298=C6,Begegnungen!$I$299=C6),Begegnungen!$K$303,IF(OR(Begegnungen!$K$293=C6,Begegnungen!$K$294=C6,Begegnungen!$K$295=C6,Begegnungen!$K$296=C6,Begegnungen!$K$297=C6,Begegnungen!$K$298=C6,Begegnungen!$K$299=C6),Begegnungen!$I$303,""))</f>
        <v/>
      </c>
      <c r="AP6" s="136" t="str">
        <f>IF(OR(Begegnungen!$C309=C6,Begegnungen!$C$310=C6,Begegnungen!$C$311=C6,Begegnungen!$C$312=C6,Begegnungen!$C$313=C6,Begegnungen!$C$314=C6,Begegnungen!$C$315=C6),Begegnungen!$E$319,IF(OR(Begegnungen!$E$309=C6,Begegnungen!$E$310=C6,Begegnungen!$E$311=C6,Begegnungen!$E$312=C6,Begegnungen!$E$313=C6,Begegnungen!$E$314=C6,Begegnungen!$E$315=C6),Begegnungen!$C$319,""))</f>
        <v/>
      </c>
      <c r="AQ6" s="66" t="str">
        <f>IF(OR(Begegnungen!$I309=C6,Begegnungen!$I$310=C6,Begegnungen!$I$311=C6,Begegnungen!$I$312=C6,Begegnungen!$I$313=C6,Begegnungen!$I$314=C6,Begegnungen!$I$315=C6),Begegnungen!$K$319,IF(OR(Begegnungen!$K$309=C6,Begegnungen!$K$310=C6,Begegnungen!$K$311=C6,Begegnungen!$K$312=C6,Begegnungen!$K$313=C6,Begegnungen!$K$314=C6,Begegnungen!$K$315=C6),Begegnungen!$I$319,""))</f>
        <v/>
      </c>
      <c r="AR6" s="25">
        <f t="shared" ref="AR6:AR23" si="0">SUM(D6:AQ6)</f>
        <v>0</v>
      </c>
      <c r="AS6" s="139">
        <f>Spiele!AS6</f>
        <v>0</v>
      </c>
      <c r="AT6" s="140" t="e">
        <f>AR6/AS6</f>
        <v>#DIV/0!</v>
      </c>
    </row>
    <row r="7" spans="2:46" x14ac:dyDescent="0.25">
      <c r="B7" s="3">
        <v>2</v>
      </c>
      <c r="C7" s="65" t="s">
        <v>25</v>
      </c>
      <c r="D7" s="66">
        <f>IF(OR(Begegnungen!$C$3=C7,Begegnungen!$C$4=C7,Begegnungen!$C$5=C7,Begegnungen!$C$6=C7,Begegnungen!$C$7=C7,Begegnungen!$C$8=C7,Begegnungen!$C$9=C7),Begegnungen!$E$13,IF(OR(Begegnungen!$E$3=C7,Begegnungen!$E$4=C7,Begegnungen!$E$5=C7,Begegnungen!$E$6=C7,Begegnungen!$E$7=C7,Begegnungen!$E$8=C7,Begegnungen!$E$9=C7),Begegnungen!$C$13,""))</f>
        <v>2</v>
      </c>
      <c r="E7" s="66">
        <f>IF(OR(Begegnungen!$I$3=C7,Begegnungen!$I$4=C7,Begegnungen!$I$5=C7,Begegnungen!$I$6=C7,Begegnungen!$I$7=C7,Begegnungen!$I$8=C7,Begegnungen!$I$9=C7),Begegnungen!$K$13,IF(OR(Begegnungen!$K$3=C7,Begegnungen!$K$4=C7,Begegnungen!$K$5=C7,Begegnungen!$K$6=C7,Begegnungen!$K$7=C7,Begegnungen!$K$8=C7,Begegnungen!$K$9=C7),Begegnungen!$I$13,""))</f>
        <v>0</v>
      </c>
      <c r="F7" s="66">
        <f>IF(OR(Begegnungen!$C$19=C7,Begegnungen!$C$20=C7,Begegnungen!$C$21=C7,Begegnungen!$C$22=C7,Begegnungen!$C$23=C7,Begegnungen!$C$24=C7,Begegnungen!$C$25=C7),Begegnungen!$E$29,IF(OR(Begegnungen!$E$19=C7,Begegnungen!$E$20=C7,Begegnungen!$E$21=C7,Begegnungen!$E$22=C7,Begegnungen!$E$23=C7,Begegnungen!$E$24=C7,Begegnungen!$E$25=C7),Begegnungen!$C$29,""))</f>
        <v>6</v>
      </c>
      <c r="G7" s="66">
        <f>IF(OR(Begegnungen!$I$19=C7,Begegnungen!$I$20=C7,Begegnungen!$I$21=C7,Begegnungen!$I$22=C7,Begegnungen!$I$23=C7,Begegnungen!$I$24=C7,Begegnungen!$I$25=C7),Begegnungen!$K$29,IF(OR(Begegnungen!$K$19=C7,Begegnungen!$K$20=C7,Begegnungen!$K$21=C7,Begegnungen!$K$22=C7,Begegnungen!$K$23=C7,Begegnungen!$K$24=C7,Begegnungen!$K$25=C7),Begegnungen!$I$29,""))</f>
        <v>3</v>
      </c>
      <c r="H7" s="66">
        <f>IF(OR(Begegnungen!$C$35=C7,Begegnungen!$C$36=C7,Begegnungen!$C$37=C7,Begegnungen!$C$38=C7,Begegnungen!$C$39=C7,Begegnungen!$C$40=C7,Begegnungen!$C$41=C7),Begegnungen!$E$46,IF(OR(Begegnungen!$E$35=C7,Begegnungen!$E$36=C7,Begegnungen!$E$37=C7,Begegnungen!$E$38=C7,Begegnungen!$E$39=C7,Begegnungen!$E$40=C7,Begegnungen!$E$41=C7),Begegnungen!$C$46,""))</f>
        <v>6</v>
      </c>
      <c r="I7" s="66" t="str">
        <f>IF(OR(Begegnungen!$I$35=C7,Begegnungen!$I$36=C7,Begegnungen!$I$37=C7,Begegnungen!$I$38=C7,Begegnungen!$I$39=C7,Begegnungen!$I$40=C7,Begegnungen!$I$41=C7),Begegnungen!$K$46,IF(OR(Begegnungen!$K$35=C7,Begegnungen!$K$36=C7,Begegnungen!$K$37=C7,Begegnungen!$K$38=C7,Begegnungen!$K$39=C7,Begegnungen!$K$40=C7,Begegnungen!$K$41=C7),Begegnungen!$I$46,""))</f>
        <v/>
      </c>
      <c r="J7" s="136">
        <f>IF(OR(Begegnungen!$C$52=C7,Begegnungen!$C$53=C7,Begegnungen!$C$54=C7,Begegnungen!$C$55=C7,Begegnungen!$C$56=C7,Begegnungen!$C$57=C7,Begegnungen!$C$58=C7),Begegnungen!$E$62,IF(OR(Begegnungen!$E$52=C7,Begegnungen!$E$53=C7,Begegnungen!$E$54=C7,Begegnungen!$E$55=C7,Begegnungen!$E$56=C7,Begegnungen!$E$57=C7,Begegnungen!$E$58=C7),Begegnungen!$C$62,""))</f>
        <v>2</v>
      </c>
      <c r="K7" s="66" t="str">
        <f>IF(OR(Begegnungen!$I$52=C7,Begegnungen!$I$53=C7,Begegnungen!$I$54=C7,Begegnungen!$I$55=C7,Begegnungen!$I$56=C7,Begegnungen!$I$57=C7,Begegnungen!$I$58=C7),Begegnungen!$K$62,IF(OR(Begegnungen!$K$52=C7,Begegnungen!$K$53=C7,Begegnungen!$K$54=C7,Begegnungen!$K$55=C7,Begegnungen!$K$56=C7,Begegnungen!$K$57=C7,Begegnungen!$K$58=C7),Begegnungen!$I$62,""))</f>
        <v/>
      </c>
      <c r="L7" s="136">
        <f>IF(OR(Begegnungen!$C69=C7,Begegnungen!$C$69=C7,Begegnungen!$C$70=C7,Begegnungen!$C$71=C7,Begegnungen!$C$72=C7,Begegnungen!$C$73=C7,Begegnungen!$C$74=C7),Begegnungen!$E$78,IF(OR(Begegnungen!$E$68=C7,Begegnungen!$E$69=C7,Begegnungen!$E$70=C7,Begegnungen!$E$71=C7,Begegnungen!$E$72=C7,Begegnungen!$E$73=C7,Begegnungen!$E$74=C7),Begegnungen!$C$78,""))</f>
        <v>3</v>
      </c>
      <c r="M7" s="66">
        <f>IF(OR(Begegnungen!$I69=C7,Begegnungen!$I$69=C7,Begegnungen!$I$70=C7,Begegnungen!$I$71=C7,Begegnungen!$I$72=C7,Begegnungen!$I$73=C7,Begegnungen!$I$74=C7),Begegnungen!$K$78,IF(OR(Begegnungen!$K$68=C7,Begegnungen!$K$69=C7,Begegnungen!$K$70=C7,Begegnungen!$K$71=C7,Begegnungen!$K$72=C7,Begegnungen!$K$73=C7,Begegnungen!$K$74=C7),Begegnungen!$I$78,""))</f>
        <v>0</v>
      </c>
      <c r="N7" s="66">
        <f>IF(OR(Begegnungen!$C85=C7,Begegnungen!$C$85=C7,Begegnungen!$C$86=C7,Begegnungen!$C$87=C7,Begegnungen!$C$88=C7,Begegnungen!$C$89=C7,Begegnungen!$C$90=C7),Begegnungen!$E$95,IF(OR(Begegnungen!$E$84=C7,Begegnungen!$E$85=C7,Begegnungen!$E$86=C7,Begegnungen!$E$87=C7,Begegnungen!$E$88=C7,Begegnungen!$E$89=C7,Begegnungen!$E$90=C7),Begegnungen!$C$95,""))</f>
        <v>3</v>
      </c>
      <c r="O7" s="66" t="str">
        <f>IF(OR(Begegnungen!$I85=C7,Begegnungen!$I$85=C7,Begegnungen!$I$86=C7,Begegnungen!$I$87=C7,Begegnungen!$I$88=C7,Begegnungen!$I$89=C7,Begegnungen!$I$90=C7),Begegnungen!$K$95,IF(OR(Begegnungen!$K$84=C7,Begegnungen!$K$85=C7,Begegnungen!$K$86=C7,Begegnungen!$K$87=C7,Begegnungen!$K$88=C7,Begegnungen!$K$89=C7,Begegnungen!$K$90=C7),Begegnungen!$I$95,""))</f>
        <v/>
      </c>
      <c r="P7" s="66" t="str">
        <f>IF(OR(Begegnungen!$C102=C7,Begegnungen!$C$102=C7,Begegnungen!$C$103=C7,Begegnungen!$C$104=C7,Begegnungen!$C$105=C7,Begegnungen!$C$106=C7,Begegnungen!$C$107=C7),Begegnungen!$E$111,IF(OR(Begegnungen!$E$101=C7,Begegnungen!$E$102=C7,Begegnungen!$E$103=C7,Begegnungen!$E$104=C7,Begegnungen!$E$105=C7,Begegnungen!$E$106=C7,Begegnungen!$E$107=C7),Begegnungen!$C$111,""))</f>
        <v/>
      </c>
      <c r="Q7" s="66">
        <f>IF(OR(Begegnungen!$I102=C7,Begegnungen!$I$102=C7,Begegnungen!$I$103=C7,Begegnungen!$I$104=C7,Begegnungen!$I$105=C7,Begegnungen!$I$106=C7,Begegnungen!$I$107=C7),Begegnungen!$K$111,IF(OR(Begegnungen!$K$101=C7,Begegnungen!$K$102=C7,Begegnungen!$K$103=C7,Begegnungen!$K$104=C7,Begegnungen!$K$105=C7,Begegnungen!$K$106=C7,Begegnungen!$K$107=C7),Begegnungen!$I$111,""))</f>
        <v>3</v>
      </c>
      <c r="R7" s="136" t="str">
        <f>IF(OR(Begegnungen!$C118=C7,Begegnungen!$C$118=C7,Begegnungen!$C$119=C7,Begegnungen!$C$120=C7,Begegnungen!$C$121=C7,Begegnungen!$C$122=C7,Begegnungen!$C$123=C7),Begegnungen!$E$127,IF(OR(Begegnungen!$E$117=C7,Begegnungen!$E$118=C7,Begegnungen!$E$119=C7,Begegnungen!$E$120=C7,Begegnungen!$E$121=C7,Begegnungen!$E$122=C7,Begegnungen!$E$123=C7),Begegnungen!$C$127,""))</f>
        <v/>
      </c>
      <c r="S7" s="66">
        <f>IF(OR(Begegnungen!$I$117=C7,Begegnungen!$I$118=C7,Begegnungen!$I$119=C7,Begegnungen!$I$120=C7,Begegnungen!$I$121=C7,Begegnungen!$I$122=C7,Begegnungen!$I$123=C7),Begegnungen!$K$127,IF(OR(Begegnungen!$K$117=C7,Begegnungen!$K$118=C7,Begegnungen!$K$119=C7,Begegnungen!$K$120=C7,Begegnungen!$K$121=C7,Begegnungen!$K$122=C7,Begegnungen!$K$123=C7),Begegnungen!$I$127,""))</f>
        <v>4</v>
      </c>
      <c r="T7" s="66">
        <f>IF(OR(Begegnungen!$C134=C7,Begegnungen!$C$134=C7,Begegnungen!$C$135=C7,Begegnungen!$C$136=C7,Begegnungen!$C$137=C7,Begegnungen!$C$138=C7,Begegnungen!$C$139=C7),Begegnungen!$E$143,IF(OR(Begegnungen!$E$133=C7,Begegnungen!$E$134=C7,Begegnungen!$E$135=C7,Begegnungen!$E$136=C7,Begegnungen!$E$137=C7,Begegnungen!$E$138=C7,Begegnungen!$E$139=C7),Begegnungen!$C$143,""))</f>
        <v>2</v>
      </c>
      <c r="U7" s="66">
        <f>IF(OR(Begegnungen!$I134=C7,Begegnungen!$I$134=C7,Begegnungen!$I$135=C7,Begegnungen!$I$136=C7,Begegnungen!$I$137=C7,Begegnungen!$I$138=C7,Begegnungen!$I$139=C7),Begegnungen!$K$143,IF(OR(Begegnungen!$K$133=C7,Begegnungen!$K$134=C7,Begegnungen!$K$135=C7,Begegnungen!$K$136=C7,Begegnungen!$K$137=C7,Begegnungen!$K$138=C7,Begegnungen!$K$139=C7),Begegnungen!$I$143,""))</f>
        <v>2</v>
      </c>
      <c r="V7" s="66">
        <f>IF(OR(Begegnungen!$C150=C7,Begegnungen!$C$150=C7,Begegnungen!$C$151=C7,Begegnungen!$C$152=C7,Begegnungen!$C$153=C7,Begegnungen!$C$154=C7,Begegnungen!$C$155=C7),Begegnungen!$E$159,IF(OR(Begegnungen!$E$149=C7,Begegnungen!$E$150=C7,Begegnungen!$E$151=C7,Begegnungen!$E$152=C7,Begegnungen!$E$153=C7,Begegnungen!$E$154=C7,Begegnungen!$E$155=C7),Begegnungen!$C$159,""))</f>
        <v>0</v>
      </c>
      <c r="W7" s="66" t="str">
        <f>IF(OR(Begegnungen!$I150=C7,Begegnungen!$I$150=C7,Begegnungen!$I$151=C7,Begegnungen!$I$152=C7,Begegnungen!$I$153=C7,Begegnungen!$I$154=C7,Begegnungen!$I$155=C7),Begegnungen!$K$159,IF(OR(Begegnungen!$K$149=C7,Begegnungen!$K$150=C7,Begegnungen!$K$151=C7,Begegnungen!$K$152=C7,Begegnungen!$K$153=C7,Begegnungen!$K$154=C7,Begegnungen!$K$155=C7),Begegnungen!$I$159,""))</f>
        <v/>
      </c>
      <c r="X7" s="66" t="str">
        <f>IF(OR(Begegnungen!$C166=C7,Begegnungen!$C$166=C7,Begegnungen!$C$167=C7,Begegnungen!$C$168=C7,Begegnungen!$C$169=C7,Begegnungen!$C$170=C7,Begegnungen!$C$171=C7),Begegnungen!$E$175,IF(OR(Begegnungen!$E$165=C7,Begegnungen!$E$166=C7,Begegnungen!$E$167=C7,Begegnungen!$E$168=C7,Begegnungen!$E$169=C7,Begegnungen!$E$170=C7,Begegnungen!$E$171=C7),Begegnungen!$C$175,""))</f>
        <v/>
      </c>
      <c r="Y7" s="66">
        <f>IF(OR(Begegnungen!$I166=C7,Begegnungen!$I$166=C7,Begegnungen!$I$167=C7,Begegnungen!$I$168=C7,Begegnungen!$I$169=C7,Begegnungen!$I$170=C7,Begegnungen!$I$171=C7),Begegnungen!$K$175,IF(OR(Begegnungen!$K$165=C7,Begegnungen!$K$166=C7,Begegnungen!$K$167=C7,Begegnungen!$K$168=C7,Begegnungen!$K$169=C7,Begegnungen!$K$170=C7,Begegnungen!$K$171=C7),Begegnungen!$I$175,""))</f>
        <v>0</v>
      </c>
      <c r="Z7" s="66" t="str">
        <f>IF(OR(Begegnungen!$C182=C7,Begegnungen!$C$182=C7,Begegnungen!$C$183=C7,Begegnungen!$C$184=C7,Begegnungen!$C$185=C7,Begegnungen!$C$186=C7,Begegnungen!$C$187=C7),Begegnungen!$E$191,IF(OR(Begegnungen!$E$181=C7,Begegnungen!$E$182=C7,Begegnungen!$E$183=C7,Begegnungen!$E$184=C7,Begegnungen!$E$185=C7,Begegnungen!$E$186=C7,Begegnungen!$E$187=C7),Begegnungen!$C$191,""))</f>
        <v/>
      </c>
      <c r="AA7" s="66">
        <f>IF(OR(Begegnungen!$I182=C7,Begegnungen!$I$182=C7,Begegnungen!$I$183=C7,Begegnungen!$I$184=C7,Begegnungen!$I$185=C7,Begegnungen!$I$186=C7,Begegnungen!$I$187=C7),Begegnungen!$K$191,IF(OR(Begegnungen!$K$181=C7,Begegnungen!$K$182=C7,Begegnungen!$K$183=C7,Begegnungen!$K$184=C7,Begegnungen!$K$185=C7,Begegnungen!$K$186=C7,Begegnungen!$K$187=C7),Begegnungen!$I$191,""))</f>
        <v>8</v>
      </c>
      <c r="AB7" s="66" t="str">
        <f>IF(OR(Begegnungen!$C198=C7,Begegnungen!$C$198=C7,Begegnungen!$C$199=C7,Begegnungen!$C$200=C7,Begegnungen!$C$201=C7,Begegnungen!$C$202=C7,Begegnungen!$C$203=C7),Begegnungen!$E$207,IF(OR(Begegnungen!$E$197=C7,Begegnungen!$E$198=C7,Begegnungen!$E$199=C7,Begegnungen!$E$200=C7,Begegnungen!$E$201=C7,Begegnungen!$E$202=C7,Begegnungen!$E$203=C7),Begegnungen!$C$207,""))</f>
        <v/>
      </c>
      <c r="AC7" s="66">
        <f>IF(OR(Begegnungen!$I198=C7,Begegnungen!$I$198=C7,Begegnungen!$I$199=C7,Begegnungen!$I$200=C7,Begegnungen!$I$201=C7,Begegnungen!$I$202=C7,Begegnungen!$I$203=C7),Begegnungen!$K$207,IF(OR(Begegnungen!$K$197=C7,Begegnungen!$K$198=C7,Begegnungen!$K$199=C7,Begegnungen!$K$200=C7,Begegnungen!$K$201=C7,Begegnungen!$K$202=C7,Begegnungen!$K$203=C7),Begegnungen!$I$207,""))</f>
        <v>2</v>
      </c>
      <c r="AD7" s="66" t="str">
        <f>IF(OR(Begegnungen!$C214=C7,Begegnungen!$C$214=C7,Begegnungen!$C$215=C7,Begegnungen!$C$216=C7,Begegnungen!$C$217=C7,Begegnungen!$C$218=C7,Begegnungen!$C$219=C7),Begegnungen!$E$223,IF(OR(Begegnungen!$E$213=C7,Begegnungen!$E$214=C7,Begegnungen!$E$215=C7,Begegnungen!$E$216=C7,Begegnungen!$E$217=C7,Begegnungen!$E$218=C7,Begegnungen!$E$219=C7),Begegnungen!$C$223,""))</f>
        <v/>
      </c>
      <c r="AE7" s="66">
        <f>IF(OR(Begegnungen!$I214=C7,Begegnungen!$I$214=C7,Begegnungen!$I$215=C7,Begegnungen!$I$216=C7,Begegnungen!$I$217=C7,Begegnungen!$I$218=C7,Begegnungen!$I$219=C7),Begegnungen!$K$223,IF(OR(Begegnungen!$K$213=C7,Begegnungen!$K$214=C7,Begegnungen!$K$215=C7,Begegnungen!$K$216=C7,Begegnungen!$K$217=C7,Begegnungen!$K$218=C7,Begegnungen!$K$219=C7),Begegnungen!$I$223,""))</f>
        <v>5</v>
      </c>
      <c r="AF7" s="136">
        <f>IF(OR(Begegnungen!$C230=C7,Begegnungen!$C$230=C7,Begegnungen!$C$231=C7,Begegnungen!$C$232=C7,Begegnungen!$C$233=C7,Begegnungen!$C$234=C7,Begegnungen!$C$235=C7),Begegnungen!$E$239,IF(OR(Begegnungen!$E$229=C7,Begegnungen!$E$230=C7,Begegnungen!$E$231=C7,Begegnungen!$E$232=C7,Begegnungen!$E$233=C7,Begegnungen!$E$234=C7,Begegnungen!$E$235=C7),Begegnungen!$C$239,""))</f>
        <v>4</v>
      </c>
      <c r="AG7" s="66">
        <f>IF(OR(Begegnungen!$I230=C7,Begegnungen!$I$230=C7,Begegnungen!$I$231=C7,Begegnungen!$I$232=C7,Begegnungen!$I$233=C7,Begegnungen!$I$234=C7,Begegnungen!$I$235=C7),Begegnungen!$K$239,IF(OR(Begegnungen!$K$229=C7,Begegnungen!$K$230=C7,Begegnungen!$K$231=C7,Begegnungen!$K$232=C7,Begegnungen!$K$233=C7,Begegnungen!$K$234=C7,Begegnungen!$K$235=C7),Begegnungen!$I$239,""))</f>
        <v>1</v>
      </c>
      <c r="AH7" s="66">
        <f>IF(OR(Begegnungen!$C246=C7,Begegnungen!$C$246=C7,Begegnungen!$C$247=C7,Begegnungen!$C$248=C7,Begegnungen!$C$249=C7,Begegnungen!$C$250=C7,Begegnungen!$C$251=C7),Begegnungen!$E$255,IF(OR(Begegnungen!$E$245=C7,Begegnungen!$E$246=C7,Begegnungen!$E$247=C7,Begegnungen!$E$248=C7,Begegnungen!$E$249=C7,Begegnungen!$E$250=C7,Begegnungen!$E$251=C7),Begegnungen!$C$255,""))</f>
        <v>4</v>
      </c>
      <c r="AI7" s="66">
        <f>IF(OR(Begegnungen!$I246=C7,Begegnungen!$I$246=C7,Begegnungen!$I$247=C7,Begegnungen!$I$248=C7,Begegnungen!$I$249=C7,Begegnungen!$I$250=C7,Begegnungen!$I$251=C7),Begegnungen!$K$255,IF(OR(Begegnungen!$K$245=C7,Begegnungen!$K$246=C7,Begegnungen!$K$247=C7,Begegnungen!$K$248=C7,Begegnungen!$K$249=C7,Begegnungen!$K$250=C7,Begegnungen!$K$251=C7),Begegnungen!$I$255,""))</f>
        <v>1</v>
      </c>
      <c r="AJ7" s="66">
        <f>IF(OR(Begegnungen!$C262=C7,Begegnungen!$C$262=C7,Begegnungen!$C$263=C7,Begegnungen!$C$264=C7,Begegnungen!$C$265=C7,Begegnungen!$C$266=C7,Begegnungen!$C$267=C7),Begegnungen!$E$271,IF(OR(Begegnungen!$E$261=C7,Begegnungen!$E$262=C7,Begegnungen!$E$263=C7,Begegnungen!$E$264=C7,Begegnungen!$E$265=C7,Begegnungen!$E$266=C7,Begegnungen!$E$267=C7),Begegnungen!$C$271,""))</f>
        <v>3</v>
      </c>
      <c r="AK7" s="66">
        <f>IF(OR(Begegnungen!$I262=C7,Begegnungen!$I$262=C7,Begegnungen!$I$263=C7,Begegnungen!$I$264=C7,Begegnungen!$I$265=C7,Begegnungen!$I$266=C7,Begegnungen!$I$267=C7),Begegnungen!$K$271,IF(OR(Begegnungen!$K$261=C7,Begegnungen!$K$262=C7,Begegnungen!$K$263=C7,Begegnungen!$K$264=C7,Begegnungen!$K$265=C7,Begegnungen!$K$266=C7,Begegnungen!$K$267=C7),Begegnungen!$I$271,""))</f>
        <v>1</v>
      </c>
      <c r="AL7" s="66">
        <f>IF(OR(Begegnungen!$C278=C7,Begegnungen!$C$278=C7,Begegnungen!$C$279=C7,Begegnungen!$C$280=C7,Begegnungen!$C$281=C7,Begegnungen!$C$282=C7,Begegnungen!$C$283=C7),Begegnungen!$E$287,IF(OR(Begegnungen!$E$277=C7,Begegnungen!$E$278=C7,Begegnungen!$E$279=C7,Begegnungen!$E$280=C7,Begegnungen!$E$281=C7,Begegnungen!$E$282=C7,Begegnungen!$E$283=C7),Begegnungen!$C$287,""))</f>
        <v>5</v>
      </c>
      <c r="AM7" s="136">
        <f>IF(OR(Begegnungen!$I278=C7,Begegnungen!$I$278=C7,Begegnungen!$I$279=C7,Begegnungen!$I$280=C7,Begegnungen!$I$281=C7,Begegnungen!$I$282=C7,Begegnungen!$I$283=C7),Begegnungen!$K$287,IF(OR(Begegnungen!$K$277=C7,Begegnungen!$K$278=C7,Begegnungen!$K$279=C7,Begegnungen!$K$280=C7,Begegnungen!$K$281=C7,Begegnungen!$K$282=C7,Begegnungen!$K$283=C7),Begegnungen!$I$287,""))</f>
        <v>3</v>
      </c>
      <c r="AN7" s="66">
        <f>IF(OR(Begegnungen!$C294=C7,Begegnungen!$C$294=C7,Begegnungen!$C$295=C7,Begegnungen!$C$296=C7,Begegnungen!$C$297=C7,Begegnungen!$C$298=C7,Begegnungen!$C$299=C7),Begegnungen!$E$303,IF(OR(Begegnungen!$E$293=C7,Begegnungen!$E$294=C7,Begegnungen!$E$295=C7,Begegnungen!$E$296=C7,Begegnungen!$E$297=C7,Begegnungen!$E$298=C7,Begegnungen!$E$299=C7),Begegnungen!$C$303,""))</f>
        <v>3</v>
      </c>
      <c r="AO7" s="136" t="str">
        <f>IF(OR(Begegnungen!$I294=C7,Begegnungen!$I$294=C7,Begegnungen!$I$295=C7,Begegnungen!$I$296=C7,Begegnungen!$I$297=C7,Begegnungen!$I$298=C7,Begegnungen!$I$299=C7),Begegnungen!$K$303,IF(OR(Begegnungen!$K$293=C7,Begegnungen!$K$294=C7,Begegnungen!$K$295=C7,Begegnungen!$K$296=C7,Begegnungen!$K$297=C7,Begegnungen!$K$298=C7,Begegnungen!$K$299=C7),Begegnungen!$I$303,""))</f>
        <v/>
      </c>
      <c r="AP7" s="136">
        <f>IF(OR(Begegnungen!$C310=C7,Begegnungen!$C$310=C7,Begegnungen!$C$311=C7,Begegnungen!$C$312=C7,Begegnungen!$C$313=C7,Begegnungen!$C$314=C7,Begegnungen!$C$315=C7),Begegnungen!$E$319,IF(OR(Begegnungen!$E$309=C7,Begegnungen!$E$310=C7,Begegnungen!$E$311=C7,Begegnungen!$E$312=C7,Begegnungen!$E$313=C7,Begegnungen!$E$314=C7,Begegnungen!$E$315=C7),Begegnungen!$C$319,""))</f>
        <v>2</v>
      </c>
      <c r="AQ7" s="66">
        <f>IF(OR(Begegnungen!$I310=C7,Begegnungen!$I$310=C7,Begegnungen!$I$311=C7,Begegnungen!$I$312=C7,Begegnungen!$I$313=C7,Begegnungen!$I$314=C7,Begegnungen!$I$315=C7),Begegnungen!$K$319,IF(OR(Begegnungen!$K$309=C7,Begegnungen!$K$310=C7,Begegnungen!$K$311=C7,Begegnungen!$K$312=C7,Begegnungen!$K$313=C7,Begegnungen!$K$314=C7,Begegnungen!$K$315=C7),Begegnungen!$I$319,""))</f>
        <v>4</v>
      </c>
      <c r="AR7" s="25">
        <f t="shared" si="0"/>
        <v>82</v>
      </c>
      <c r="AS7" s="139">
        <f>Spiele!AS7</f>
        <v>30</v>
      </c>
      <c r="AT7" s="140">
        <f t="shared" ref="AT7:AT23" si="1">AR7/AS7</f>
        <v>2.7333333333333334</v>
      </c>
    </row>
    <row r="8" spans="2:46" x14ac:dyDescent="0.25">
      <c r="B8" s="3">
        <v>3</v>
      </c>
      <c r="C8" s="65" t="s">
        <v>119</v>
      </c>
      <c r="D8" s="66">
        <f>IF(OR(Begegnungen!$C$3=C8,Begegnungen!$C$4=C8,Begegnungen!$C$5=C8,Begegnungen!$C$6=C8,Begegnungen!$C$7=C8,Begegnungen!$C$8=C8,Begegnungen!$C$9=C8),Begegnungen!$E$13,IF(OR(Begegnungen!$E$3=C8,Begegnungen!$E$4=C8,Begegnungen!$E$5=C8,Begegnungen!$E$6=C8,Begegnungen!$E$7=C8,Begegnungen!$E$8=C8,Begegnungen!$E$9=C8),Begegnungen!$C$13,""))</f>
        <v>2</v>
      </c>
      <c r="E8" s="66">
        <f>IF(OR(Begegnungen!$I$3=C8,Begegnungen!$I$4=C8,Begegnungen!$I$5=C8,Begegnungen!$I$6=C8,Begegnungen!$I$7=C8,Begegnungen!$I$8=C8,Begegnungen!$I$9=C8),Begegnungen!$K$13,IF(OR(Begegnungen!$K$3=C8,Begegnungen!$K$4=C8,Begegnungen!$K$5=C8,Begegnungen!$K$6=C8,Begegnungen!$K$7=C8,Begegnungen!$K$8=C8,Begegnungen!$K$9=C8),Begegnungen!$I$13,""))</f>
        <v>1</v>
      </c>
      <c r="F8" s="66">
        <f>IF(OR(Begegnungen!$C$19=C8,Begegnungen!$C$20=C8,Begegnungen!$C$21=C8,Begegnungen!$C$22=C8,Begegnungen!$C$23=C8,Begegnungen!$C$24=C8,Begegnungen!$C$25=C8),Begegnungen!$E$29,IF(OR(Begegnungen!$E$19=C8,Begegnungen!$E$20=C8,Begegnungen!$E$21=C8,Begegnungen!$E$22=C8,Begegnungen!$E$23=C8,Begegnungen!$E$24=C8,Begegnungen!$E$25=C8),Begegnungen!$C$29,""))</f>
        <v>4</v>
      </c>
      <c r="G8" s="66">
        <f>IF(OR(Begegnungen!$I$19=C8,Begegnungen!$I$20=C8,Begegnungen!$I$21=C8,Begegnungen!$I$22=C8,Begegnungen!$I$23=C8,Begegnungen!$I$24=C8,Begegnungen!$I$25=C8),Begegnungen!$K$29,IF(OR(Begegnungen!$K$19=C8,Begegnungen!$K$20=C8,Begegnungen!$K$21=C8,Begegnungen!$K$22=C8,Begegnungen!$K$23=C8,Begegnungen!$K$24=C8,Begegnungen!$K$25=C8),Begegnungen!$I$29,""))</f>
        <v>3</v>
      </c>
      <c r="H8" s="66">
        <f>IF(OR(Begegnungen!$C$35=C8,Begegnungen!$C$36=C8,Begegnungen!$C$37=C8,Begegnungen!$C$38=C8,Begegnungen!$C$39=C8,Begegnungen!$C$40=C8,Begegnungen!$C$41=C8),Begegnungen!$E$46,IF(OR(Begegnungen!$E$35=C8,Begegnungen!$E$36=C8,Begegnungen!$E$37=C8,Begegnungen!$E$38=C8,Begegnungen!$E$39=C8,Begegnungen!$E$40=C8,Begegnungen!$E$41=C8),Begegnungen!$C$46,""))</f>
        <v>6</v>
      </c>
      <c r="I8" s="66" t="str">
        <f>IF(OR(Begegnungen!$I$35=C8,Begegnungen!$I$36=C8,Begegnungen!$I$37=C8,Begegnungen!$I$38=C8,Begegnungen!$I$39=C8,Begegnungen!$I$40=C8,Begegnungen!$I$41=C8),Begegnungen!$K$46,IF(OR(Begegnungen!$K$35=C8,Begegnungen!$K$36=C8,Begegnungen!$K$37=C8,Begegnungen!$K$38=C8,Begegnungen!$K$39=C8,Begegnungen!$K$40=C8,Begegnungen!$K$41=C8),Begegnungen!$I$46,""))</f>
        <v/>
      </c>
      <c r="J8" s="136">
        <f>IF(OR(Begegnungen!$C$52=C8,Begegnungen!$C$53=C8,Begegnungen!$C$54=C8,Begegnungen!$C$55=C8,Begegnungen!$C$56=C8,Begegnungen!$C$57=C8,Begegnungen!$C$58=C8),Begegnungen!$E$62,IF(OR(Begegnungen!$E$52=C8,Begegnungen!$E$53=C8,Begegnungen!$E$54=C8,Begegnungen!$E$55=C8,Begegnungen!$E$56=C8,Begegnungen!$E$57=C8,Begegnungen!$E$58=C8),Begegnungen!$C$62,""))</f>
        <v>2</v>
      </c>
      <c r="K8" s="66">
        <f>IF(OR(Begegnungen!$I$52=C8,Begegnungen!$I$53=C8,Begegnungen!$I$54=C8,Begegnungen!$I$55=C8,Begegnungen!$I$56=C8,Begegnungen!$I$57=C8,Begegnungen!$I$58=C8),Begegnungen!$K$62,IF(OR(Begegnungen!$K$52=C8,Begegnungen!$K$53=C8,Begegnungen!$K$54=C8,Begegnungen!$K$55=C8,Begegnungen!$K$56=C8,Begegnungen!$K$57=C8,Begegnungen!$K$58=C8),Begegnungen!$I$62,""))</f>
        <v>4</v>
      </c>
      <c r="L8" s="136" t="str">
        <f>IF(OR(Begegnungen!$C70=C8,Begegnungen!$C$69=C8,Begegnungen!$C$70=C8,Begegnungen!$C$71=C8,Begegnungen!$C$72=C8,Begegnungen!$C$73=C8,Begegnungen!$C$74=C8),Begegnungen!$E$78,IF(OR(Begegnungen!$E$68=C8,Begegnungen!$E$69=C8,Begegnungen!$E$70=C8,Begegnungen!$E$71=C8,Begegnungen!$E$72=C8,Begegnungen!$E$73=C8,Begegnungen!$E$74=C8),Begegnungen!$C$78,""))</f>
        <v/>
      </c>
      <c r="M8" s="66">
        <f>IF(OR(Begegnungen!$I70=C8,Begegnungen!$I$69=C8,Begegnungen!$I$70=C8,Begegnungen!$I$71=C8,Begegnungen!$I$72=C8,Begegnungen!$I$73=C8,Begegnungen!$I$74=C8),Begegnungen!$K$78,IF(OR(Begegnungen!$K$68=C8,Begegnungen!$K$69=C8,Begegnungen!$K$70=C8,Begegnungen!$K$71=C8,Begegnungen!$K$72=C8,Begegnungen!$K$73=C8,Begegnungen!$K$74=C8),Begegnungen!$I$78,""))</f>
        <v>1</v>
      </c>
      <c r="N8" s="66">
        <f>IF(OR(Begegnungen!$C86=C8,Begegnungen!$C$85=C8,Begegnungen!$C$86=C8,Begegnungen!$C$87=C8,Begegnungen!$C$88=C8,Begegnungen!$C$89=C8,Begegnungen!$C$90=C8),Begegnungen!$E$95,IF(OR(Begegnungen!$E$84=C8,Begegnungen!$E$85=C8,Begegnungen!$E$86=C8,Begegnungen!$E$87=C8,Begegnungen!$E$88=C8,Begegnungen!$E$89=C8,Begegnungen!$E$90=C8),Begegnungen!$C$95,""))</f>
        <v>1</v>
      </c>
      <c r="O8" s="66">
        <f>IF(OR(Begegnungen!$I86=C8,Begegnungen!$I$85=C8,Begegnungen!$I$86=C8,Begegnungen!$I$87=C8,Begegnungen!$I$88=C8,Begegnungen!$I$89=C8,Begegnungen!$I$90=C8),Begegnungen!$K$95,IF(OR(Begegnungen!$K$84=C8,Begegnungen!$K$85=C8,Begegnungen!$K$86=C8,Begegnungen!$K$87=C8,Begegnungen!$K$88=C8,Begegnungen!$K$89=C8,Begegnungen!$K$90=C8),Begegnungen!$I$95,""))</f>
        <v>2</v>
      </c>
      <c r="P8" s="66">
        <f>IF(OR(Begegnungen!$C103=C8,Begegnungen!$C$102=C8,Begegnungen!$C$103=C8,Begegnungen!$C$104=C8,Begegnungen!$C$105=C8,Begegnungen!$C$106=C8,Begegnungen!$C$107=C8),Begegnungen!$E$111,IF(OR(Begegnungen!$E$101=C8,Begegnungen!$E$102=C8,Begegnungen!$E$103=C8,Begegnungen!$E$104=C8,Begegnungen!$E$105=C8,Begegnungen!$E$106=C8,Begegnungen!$E$107=C8),Begegnungen!$C$111,""))</f>
        <v>2</v>
      </c>
      <c r="Q8" s="66">
        <f>IF(OR(Begegnungen!$I103=C8,Begegnungen!$I$102=C8,Begegnungen!$I$103=C8,Begegnungen!$I$104=C8,Begegnungen!$I$105=C8,Begegnungen!$I$106=C8,Begegnungen!$I$107=C8),Begegnungen!$K$111,IF(OR(Begegnungen!$K$101=C8,Begegnungen!$K$102=C8,Begegnungen!$K$103=C8,Begegnungen!$K$104=C8,Begegnungen!$K$105=C8,Begegnungen!$K$106=C8,Begegnungen!$K$107=C8),Begegnungen!$I$111,""))</f>
        <v>0</v>
      </c>
      <c r="R8" s="136">
        <f>IF(OR(Begegnungen!$C119=C8,Begegnungen!$C$118=C8,Begegnungen!$C$119=C8,Begegnungen!$C$120=C8,Begegnungen!$C$121=C8,Begegnungen!$C$122=C8,Begegnungen!$C$123=C8),Begegnungen!$E$127,IF(OR(Begegnungen!$E$117=C8,Begegnungen!$E$118=C8,Begegnungen!$E$119=C8,Begegnungen!$E$120=C8,Begegnungen!$E$121=C8,Begegnungen!$E$122=C8,Begegnungen!$E$123=C8),Begegnungen!$C$127,""))</f>
        <v>1</v>
      </c>
      <c r="S8" s="66">
        <f>IF(OR(Begegnungen!$I$117=C8,Begegnungen!$I$118=C8,Begegnungen!$I$119=C8,Begegnungen!$I$120=C8,Begegnungen!$I$121=C8,Begegnungen!$I$122=C8,Begegnungen!$I$123=C8),Begegnungen!$K$127,IF(OR(Begegnungen!$K$117=C8,Begegnungen!$K$118=C8,Begegnungen!$K$119=C8,Begegnungen!$K$120=C8,Begegnungen!$K$121=C8,Begegnungen!$K$122=C8,Begegnungen!$K$123=C8),Begegnungen!$I$127,""))</f>
        <v>3</v>
      </c>
      <c r="T8" s="66">
        <f>IF(OR(Begegnungen!$C135=C8,Begegnungen!$C$134=C8,Begegnungen!$C$135=C8,Begegnungen!$C$136=C8,Begegnungen!$C$137=C8,Begegnungen!$C$138=C8,Begegnungen!$C$139=C8),Begegnungen!$E$143,IF(OR(Begegnungen!$E$133=C8,Begegnungen!$E$134=C8,Begegnungen!$E$135=C8,Begegnungen!$E$136=C8,Begegnungen!$E$137=C8,Begegnungen!$E$138=C8,Begegnungen!$E$139=C8),Begegnungen!$C$143,""))</f>
        <v>2</v>
      </c>
      <c r="U8" s="66">
        <f>IF(OR(Begegnungen!$I135=C8,Begegnungen!$I$134=C8,Begegnungen!$I$135=C8,Begegnungen!$I$136=C8,Begegnungen!$I$137=C8,Begegnungen!$I$138=C8,Begegnungen!$I$139=C8),Begegnungen!$K$143,IF(OR(Begegnungen!$K$133=C8,Begegnungen!$K$134=C8,Begegnungen!$K$135=C8,Begegnungen!$K$136=C8,Begegnungen!$K$137=C8,Begegnungen!$K$138=C8,Begegnungen!$K$139=C8),Begegnungen!$I$143,""))</f>
        <v>1</v>
      </c>
      <c r="V8" s="66">
        <f>IF(OR(Begegnungen!$C151=C8,Begegnungen!$C$150=C8,Begegnungen!$C$151=C8,Begegnungen!$C$152=C8,Begegnungen!$C$153=C8,Begegnungen!$C$154=C8,Begegnungen!$C$155=C8),Begegnungen!$E$159,IF(OR(Begegnungen!$E$149=C8,Begegnungen!$E$150=C8,Begegnungen!$E$151=C8,Begegnungen!$E$152=C8,Begegnungen!$E$153=C8,Begegnungen!$E$154=C8,Begegnungen!$E$155=C8),Begegnungen!$C$159,""))</f>
        <v>4</v>
      </c>
      <c r="W8" s="66">
        <f>IF(OR(Begegnungen!$I151=C8,Begegnungen!$I$150=C8,Begegnungen!$I$151=C8,Begegnungen!$I$152=C8,Begegnungen!$I$153=C8,Begegnungen!$I$154=C8,Begegnungen!$I$155=C8),Begegnungen!$K$159,IF(OR(Begegnungen!$K$149=C8,Begegnungen!$K$150=C8,Begegnungen!$K$151=C8,Begegnungen!$K$152=C8,Begegnungen!$K$153=C8,Begegnungen!$K$154=C8,Begegnungen!$K$155=C8),Begegnungen!$I$159,""))</f>
        <v>2</v>
      </c>
      <c r="X8" s="66">
        <f>IF(OR(Begegnungen!$C167=C8,Begegnungen!$C$166=C8,Begegnungen!$C$167=C8,Begegnungen!$C$168=C8,Begegnungen!$C$169=C8,Begegnungen!$C$170=C8,Begegnungen!$C$171=C8),Begegnungen!$E$175,IF(OR(Begegnungen!$E$165=C8,Begegnungen!$E$166=C8,Begegnungen!$E$167=C8,Begegnungen!$E$168=C8,Begegnungen!$E$169=C8,Begegnungen!$E$170=C8,Begegnungen!$E$171=C8),Begegnungen!$C$175,""))</f>
        <v>3</v>
      </c>
      <c r="Y8" s="66">
        <f>IF(OR(Begegnungen!$I167=C8,Begegnungen!$I$166=C8,Begegnungen!$I$167=C8,Begegnungen!$I$168=C8,Begegnungen!$I$169=C8,Begegnungen!$I$170=C8,Begegnungen!$I$171=C8),Begegnungen!$K$175,IF(OR(Begegnungen!$K$165=C8,Begegnungen!$K$166=C8,Begegnungen!$K$167=C8,Begegnungen!$K$168=C8,Begegnungen!$K$169=C8,Begegnungen!$K$170=C8,Begegnungen!$K$171=C8),Begegnungen!$I$175,""))</f>
        <v>4</v>
      </c>
      <c r="Z8" s="66" t="str">
        <f>IF(OR(Begegnungen!$C183=C8,Begegnungen!$C$182=C8,Begegnungen!$C$183=C8,Begegnungen!$C$184=C8,Begegnungen!$C$185=C8,Begegnungen!$C$186=C8,Begegnungen!$C$187=C8),Begegnungen!$E$191,IF(OR(Begegnungen!$E$181=C8,Begegnungen!$E$182=C8,Begegnungen!$E$183=C8,Begegnungen!$E$184=C8,Begegnungen!$E$185=C8,Begegnungen!$E$186=C8,Begegnungen!$E$187=C8),Begegnungen!$C$191,""))</f>
        <v/>
      </c>
      <c r="AA8" s="66" t="str">
        <f>IF(OR(Begegnungen!$I183=C8,Begegnungen!$I$182=C8,Begegnungen!$I$183=C8,Begegnungen!$I$184=C8,Begegnungen!$I$185=C8,Begegnungen!$I$186=C8,Begegnungen!$I$187=C8),Begegnungen!$K$191,IF(OR(Begegnungen!$K$181=C8,Begegnungen!$K$182=C8,Begegnungen!$K$183=C8,Begegnungen!$K$184=C8,Begegnungen!$K$185=C8,Begegnungen!$K$186=C8,Begegnungen!$K$187=C8),Begegnungen!$I$191,""))</f>
        <v/>
      </c>
      <c r="AB8" s="66">
        <f>IF(OR(Begegnungen!$C199=C8,Begegnungen!$C$198=C8,Begegnungen!$C$199=C8,Begegnungen!$C$200=C8,Begegnungen!$C$201=C8,Begegnungen!$C$202=C8,Begegnungen!$C$203=C8),Begegnungen!$E$207,IF(OR(Begegnungen!$E$197=C8,Begegnungen!$E$198=C8,Begegnungen!$E$199=C8,Begegnungen!$E$200=C8,Begegnungen!$E$201=C8,Begegnungen!$E$202=C8,Begegnungen!$E$203=C8),Begegnungen!$C$207,""))</f>
        <v>3</v>
      </c>
      <c r="AC8" s="66">
        <f>IF(OR(Begegnungen!$I199=C8,Begegnungen!$I$198=C8,Begegnungen!$I$199=C8,Begegnungen!$I$200=C8,Begegnungen!$I$201=C8,Begegnungen!$I$202=C8,Begegnungen!$I$203=C8),Begegnungen!$K$207,IF(OR(Begegnungen!$K$197=C8,Begegnungen!$K$198=C8,Begegnungen!$K$199=C8,Begegnungen!$K$200=C8,Begegnungen!$K$201=C8,Begegnungen!$K$202=C8,Begegnungen!$K$203=C8),Begegnungen!$I$207,""))</f>
        <v>5</v>
      </c>
      <c r="AD8" s="66">
        <f>IF(OR(Begegnungen!$C215=C8,Begegnungen!$C$214=C8,Begegnungen!$C$215=C8,Begegnungen!$C$216=C8,Begegnungen!$C$217=C8,Begegnungen!$C$218=C8,Begegnungen!$C$219=C8),Begegnungen!$E$223,IF(OR(Begegnungen!$E$213=C8,Begegnungen!$E$214=C8,Begegnungen!$E$215=C8,Begegnungen!$E$216=C8,Begegnungen!$E$217=C8,Begegnungen!$E$218=C8,Begegnungen!$E$219=C8),Begegnungen!$C$223,""))</f>
        <v>5</v>
      </c>
      <c r="AE8" s="66">
        <f>IF(OR(Begegnungen!$I215=C8,Begegnungen!$I$214=C8,Begegnungen!$I$215=C8,Begegnungen!$I$216=C8,Begegnungen!$I$217=C8,Begegnungen!$I$218=C8,Begegnungen!$I$219=C8),Begegnungen!$K$223,IF(OR(Begegnungen!$K$213=C8,Begegnungen!$K$214=C8,Begegnungen!$K$215=C8,Begegnungen!$K$216=C8,Begegnungen!$K$217=C8,Begegnungen!$K$218=C8,Begegnungen!$K$219=C8),Begegnungen!$I$223,""))</f>
        <v>5</v>
      </c>
      <c r="AF8" s="136">
        <f>IF(OR(Begegnungen!$C231=C8,Begegnungen!$C$230=C8,Begegnungen!$C$231=C8,Begegnungen!$C$232=C8,Begegnungen!$C$233=C8,Begegnungen!$C$234=C8,Begegnungen!$C$235=C8),Begegnungen!$E$239,IF(OR(Begegnungen!$E$229=C8,Begegnungen!$E$230=C8,Begegnungen!$E$231=C8,Begegnungen!$E$232=C8,Begegnungen!$E$233=C8,Begegnungen!$E$234=C8,Begegnungen!$E$235=C8),Begegnungen!$C$239,""))</f>
        <v>0</v>
      </c>
      <c r="AG8" s="66" t="str">
        <f>IF(OR(Begegnungen!$I231=C8,Begegnungen!$I$230=C8,Begegnungen!$I$231=C8,Begegnungen!$I$232=C8,Begegnungen!$I$233=C8,Begegnungen!$I$234=C8,Begegnungen!$I$235=C8),Begegnungen!$K$239,IF(OR(Begegnungen!$K$229=C8,Begegnungen!$K$230=C8,Begegnungen!$K$231=C8,Begegnungen!$K$232=C8,Begegnungen!$K$233=C8,Begegnungen!$K$234=C8,Begegnungen!$K$235=C8),Begegnungen!$I$239,""))</f>
        <v/>
      </c>
      <c r="AH8" s="66">
        <f>IF(OR(Begegnungen!$C247=C8,Begegnungen!$C$246=C8,Begegnungen!$C$247=C8,Begegnungen!$C$248=C8,Begegnungen!$C$249=C8,Begegnungen!$C$250=C8,Begegnungen!$C$251=C8),Begegnungen!$E$255,IF(OR(Begegnungen!$E$245=C8,Begegnungen!$E$246=C8,Begegnungen!$E$247=C8,Begegnungen!$E$248=C8,Begegnungen!$E$249=C8,Begegnungen!$E$250=C8,Begegnungen!$E$251=C8),Begegnungen!$C$255,""))</f>
        <v>2</v>
      </c>
      <c r="AI8" s="66" t="str">
        <f>IF(OR(Begegnungen!$I247=C8,Begegnungen!$I$246=C8,Begegnungen!$I$247=C8,Begegnungen!$I$248=C8,Begegnungen!$I$249=C8,Begegnungen!$I$250=C8,Begegnungen!$I$251=C8),Begegnungen!$K$255,IF(OR(Begegnungen!$K$245=C8,Begegnungen!$K$246=C8,Begegnungen!$K$247=C8,Begegnungen!$K$248=C8,Begegnungen!$K$249=C8,Begegnungen!$K$250=C8,Begegnungen!$K$251=C8),Begegnungen!$I$255,""))</f>
        <v/>
      </c>
      <c r="AJ8" s="66" t="str">
        <f>IF(OR(Begegnungen!$C263=C8,Begegnungen!$C$262=C8,Begegnungen!$C$263=C8,Begegnungen!$C$264=C8,Begegnungen!$C$265=C8,Begegnungen!$C$266=C8,Begegnungen!$C$267=C8),Begegnungen!$E$271,IF(OR(Begegnungen!$E$261=C8,Begegnungen!$E$262=C8,Begegnungen!$E$263=C8,Begegnungen!$E$264=C8,Begegnungen!$E$265=C8,Begegnungen!$E$266=C8,Begegnungen!$E$267=C8),Begegnungen!$C$271,""))</f>
        <v/>
      </c>
      <c r="AK8" s="66">
        <f>IF(OR(Begegnungen!$I263=C8,Begegnungen!$I$262=C8,Begegnungen!$I$263=C8,Begegnungen!$I$264=C8,Begegnungen!$I$265=C8,Begegnungen!$I$266=C8,Begegnungen!$I$267=C8),Begegnungen!$K$271,IF(OR(Begegnungen!$K$261=C8,Begegnungen!$K$262=C8,Begegnungen!$K$263=C8,Begegnungen!$K$264=C8,Begegnungen!$K$265=C8,Begegnungen!$K$266=C8,Begegnungen!$K$267=C8),Begegnungen!$I$271,""))</f>
        <v>1</v>
      </c>
      <c r="AL8" s="66">
        <f>IF(OR(Begegnungen!$C279=C8,Begegnungen!$C$278=C8,Begegnungen!$C$279=C8,Begegnungen!$C$280=C8,Begegnungen!$C$281=C8,Begegnungen!$C$282=C8,Begegnungen!$C$283=C8),Begegnungen!$E$287,IF(OR(Begegnungen!$E$277=C8,Begegnungen!$E$278=C8,Begegnungen!$E$279=C8,Begegnungen!$E$280=C8,Begegnungen!$E$281=C8,Begegnungen!$E$282=C8,Begegnungen!$E$283=C8),Begegnungen!$C$287,""))</f>
        <v>5</v>
      </c>
      <c r="AM8" s="136" t="str">
        <f>IF(OR(Begegnungen!$I279=C8,Begegnungen!$I$278=C8,Begegnungen!$I$279=C8,Begegnungen!$I$280=C8,Begegnungen!$I$281=C8,Begegnungen!$I$282=C8,Begegnungen!$I$283=C8),Begegnungen!$K$287,IF(OR(Begegnungen!$K$277=C8,Begegnungen!$K$278=C8,Begegnungen!$K$279=C8,Begegnungen!$K$280=C8,Begegnungen!$K$281=C8,Begegnungen!$K$282=C8,Begegnungen!$K$283=C8),Begegnungen!$I$287,""))</f>
        <v/>
      </c>
      <c r="AN8" s="66" t="str">
        <f>IF(OR(Begegnungen!$C295=C8,Begegnungen!$C$294=C8,Begegnungen!$C$295=C8,Begegnungen!$C$296=C8,Begegnungen!$C$297=C8,Begegnungen!$C$298=C8,Begegnungen!$C$299=C8),Begegnungen!$E$303,IF(OR(Begegnungen!$E$293=C8,Begegnungen!$E$294=C8,Begegnungen!$E$295=C8,Begegnungen!$E$296=C8,Begegnungen!$E$297=C8,Begegnungen!$E$298=C8,Begegnungen!$E$299=C8),Begegnungen!$C$303,""))</f>
        <v/>
      </c>
      <c r="AO8" s="136">
        <f>IF(OR(Begegnungen!$I295=C8,Begegnungen!$I$294=C8,Begegnungen!$I$295=C8,Begegnungen!$I$296=C8,Begegnungen!$I$297=C8,Begegnungen!$I$298=C8,Begegnungen!$I$299=C8),Begegnungen!$K$303,IF(OR(Begegnungen!$K$293=C8,Begegnungen!$K$294=C8,Begegnungen!$K$295=C8,Begegnungen!$K$296=C8,Begegnungen!$K$297=C8,Begegnungen!$K$298=C8,Begegnungen!$K$299=C8),Begegnungen!$I$303,""))</f>
        <v>3</v>
      </c>
      <c r="AP8" s="136">
        <f>IF(OR(Begegnungen!$C311=C8,Begegnungen!$C$310=C8,Begegnungen!$C$311=C8,Begegnungen!$C$312=C8,Begegnungen!$C$313=C8,Begegnungen!$C$314=C8,Begegnungen!$C$315=C8),Begegnungen!$E$319,IF(OR(Begegnungen!$E$309=C8,Begegnungen!$E$310=C8,Begegnungen!$E$311=C8,Begegnungen!$E$312=C8,Begegnungen!$E$313=C8,Begegnungen!$E$314=C8,Begegnungen!$E$315=C8),Begegnungen!$C$319,""))</f>
        <v>7</v>
      </c>
      <c r="AQ8" s="66">
        <f>IF(OR(Begegnungen!$I311=C8,Begegnungen!$I$310=C8,Begegnungen!$I$311=C8,Begegnungen!$I$312=C8,Begegnungen!$I$313=C8,Begegnungen!$I$314=C8,Begegnungen!$I$315=C8),Begegnungen!$K$319,IF(OR(Begegnungen!$K$309=C8,Begegnungen!$K$310=C8,Begegnungen!$K$311=C8,Begegnungen!$K$312=C8,Begegnungen!$K$313=C8,Begegnungen!$K$314=C8,Begegnungen!$K$315=C8),Begegnungen!$I$319,""))</f>
        <v>4</v>
      </c>
      <c r="AR8" s="25">
        <f t="shared" si="0"/>
        <v>88</v>
      </c>
      <c r="AS8" s="139">
        <f>Spiele!AS24</f>
        <v>31</v>
      </c>
      <c r="AT8" s="140">
        <f t="shared" si="1"/>
        <v>2.838709677419355</v>
      </c>
    </row>
    <row r="9" spans="2:46" x14ac:dyDescent="0.25">
      <c r="B9" s="3">
        <v>4</v>
      </c>
      <c r="C9" s="65" t="s">
        <v>14</v>
      </c>
      <c r="D9" s="66">
        <f>IF(OR(Begegnungen!$C$3=C9,Begegnungen!$C$4=C9,Begegnungen!$C$5=C9,Begegnungen!$C$6=C9,Begegnungen!$C$7=C9,Begegnungen!$C$8=C9,Begegnungen!$C$9=C9),Begegnungen!$E$13,IF(OR(Begegnungen!$E$3=C9,Begegnungen!$E$4=C9,Begegnungen!$E$5=C9,Begegnungen!$E$6=C9,Begegnungen!$E$7=C9,Begegnungen!$E$8=C9,Begegnungen!$E$9=C9),Begegnungen!$C$13,""))</f>
        <v>2</v>
      </c>
      <c r="E9" s="66" t="str">
        <f>IF(OR(Begegnungen!$I$3=C9,Begegnungen!$I$4=C9,Begegnungen!$I$5=C9,Begegnungen!$I$6=C9,Begegnungen!$I$7=C9,Begegnungen!$I$8=C9,Begegnungen!$I$9=C9),Begegnungen!$K$13,IF(OR(Begegnungen!$K$3=C9,Begegnungen!$K$4=C9,Begegnungen!$K$5=C9,Begegnungen!$K$6=C9,Begegnungen!$K$7=C9,Begegnungen!$K$8=C9,Begegnungen!$K$9=C9),Begegnungen!$I$13,""))</f>
        <v/>
      </c>
      <c r="F9" s="66" t="str">
        <f>IF(OR(Begegnungen!$C$19=C9,Begegnungen!$C$20=C9,Begegnungen!$C$21=C9,Begegnungen!$C$22=C9,Begegnungen!$C$23=C9,Begegnungen!$C$24=C9,Begegnungen!$C$25=C9),Begegnungen!$E$29,IF(OR(Begegnungen!$E$19=C9,Begegnungen!$E$20=C9,Begegnungen!$E$21=C9,Begegnungen!$E$22=C9,Begegnungen!$E$23=C9,Begegnungen!$E$24=C9,Begegnungen!$E$25=C9),Begegnungen!$C$29,""))</f>
        <v/>
      </c>
      <c r="G9" s="66" t="str">
        <f>IF(OR(Begegnungen!$I$19=C9,Begegnungen!$I$20=C9,Begegnungen!$I$21=C9,Begegnungen!$I$22=C9,Begegnungen!$I$23=C9,Begegnungen!$I$24=C9,Begegnungen!$I$25=C9),Begegnungen!$K$29,IF(OR(Begegnungen!$K$19=C9,Begegnungen!$K$20=C9,Begegnungen!$K$21=C9,Begegnungen!$K$22=C9,Begegnungen!$K$23=C9,Begegnungen!$K$24=C9,Begegnungen!$K$25=C9),Begegnungen!$I$29,""))</f>
        <v/>
      </c>
      <c r="H9" s="66" t="str">
        <f>IF(OR(Begegnungen!$C$35=C9,Begegnungen!$C$36=C9,Begegnungen!$C$37=C9,Begegnungen!$C$38=C9,Begegnungen!$C$39=C9,Begegnungen!$C$40=C9,Begegnungen!$C$41=C9),Begegnungen!$E$46,IF(OR(Begegnungen!$E$35=C9,Begegnungen!$E$36=C9,Begegnungen!$E$37=C9,Begegnungen!$E$38=C9,Begegnungen!$E$39=C9,Begegnungen!$E$40=C9,Begegnungen!$E$41=C9),Begegnungen!$C$46,""))</f>
        <v/>
      </c>
      <c r="I9" s="66" t="str">
        <f>IF(OR(Begegnungen!$I$35=C9,Begegnungen!$I$36=C9,Begegnungen!$I$37=C9,Begegnungen!$I$38=C9,Begegnungen!$I$39=C9,Begegnungen!$I$40=C9,Begegnungen!$I$41=C9),Begegnungen!$K$46,IF(OR(Begegnungen!$K$35=C9,Begegnungen!$K$36=C9,Begegnungen!$K$37=C9,Begegnungen!$K$38=C9,Begegnungen!$K$39=C9,Begegnungen!$K$40=C9,Begegnungen!$K$41=C9),Begegnungen!$I$46,""))</f>
        <v/>
      </c>
      <c r="J9" s="136" t="str">
        <f>IF(OR(Begegnungen!$C$52=C9,Begegnungen!$C$53=C9,Begegnungen!$C$54=C9,Begegnungen!$C$55=C9,Begegnungen!$C$56=C9,Begegnungen!$C$57=C9,Begegnungen!$C$58=C9),Begegnungen!$E$62,IF(OR(Begegnungen!$E$52=C9,Begegnungen!$E$53=C9,Begegnungen!$E$54=C9,Begegnungen!$E$55=C9,Begegnungen!$E$56=C9,Begegnungen!$E$57=C9,Begegnungen!$E$58=C9),Begegnungen!$C$62,""))</f>
        <v/>
      </c>
      <c r="K9" s="66" t="str">
        <f>IF(OR(Begegnungen!$I$52=C9,Begegnungen!$I$53=C9,Begegnungen!$I$54=C9,Begegnungen!$I$55=C9,Begegnungen!$I$56=C9,Begegnungen!$I$57=C9,Begegnungen!$I$58=C9),Begegnungen!$K$62,IF(OR(Begegnungen!$K$52=C9,Begegnungen!$K$53=C9,Begegnungen!$K$54=C9,Begegnungen!$K$55=C9,Begegnungen!$K$56=C9,Begegnungen!$K$57=C9,Begegnungen!$K$58=C9),Begegnungen!$I$62,""))</f>
        <v/>
      </c>
      <c r="L9" s="136" t="str">
        <f>IF(OR(Begegnungen!$C71=C9,Begegnungen!$C$69=C9,Begegnungen!$C$70=C9,Begegnungen!$C$71=C9,Begegnungen!$C$72=C9,Begegnungen!$C$73=C9,Begegnungen!$C$74=C9),Begegnungen!$E$78,IF(OR(Begegnungen!$E$68=C9,Begegnungen!$E$69=C9,Begegnungen!$E$70=C9,Begegnungen!$E$71=C9,Begegnungen!$E$72=C9,Begegnungen!$E$73=C9,Begegnungen!$E$74=C9),Begegnungen!$C$78,""))</f>
        <v/>
      </c>
      <c r="M9" s="66" t="str">
        <f>IF(OR(Begegnungen!$I71=C9,Begegnungen!$I$69=C9,Begegnungen!$I$70=C9,Begegnungen!$I$71=C9,Begegnungen!$I$72=C9,Begegnungen!$I$73=C9,Begegnungen!$I$74=C9),Begegnungen!$K$78,IF(OR(Begegnungen!$K$68=C9,Begegnungen!$K$69=C9,Begegnungen!$K$70=C9,Begegnungen!$K$71=C9,Begegnungen!$K$72=C9,Begegnungen!$K$73=C9,Begegnungen!$K$74=C9),Begegnungen!$I$78,""))</f>
        <v/>
      </c>
      <c r="N9" s="66" t="str">
        <f>IF(OR(Begegnungen!$C87=C9,Begegnungen!$C$85=C9,Begegnungen!$C$86=C9,Begegnungen!$C$87=C9,Begegnungen!$C$88=C9,Begegnungen!$C$89=C9,Begegnungen!$C$90=C9),Begegnungen!$E$95,IF(OR(Begegnungen!$E$84=C9,Begegnungen!$E$85=C9,Begegnungen!$E$86=C9,Begegnungen!$E$87=C9,Begegnungen!$E$88=C9,Begegnungen!$E$89=C9,Begegnungen!$E$90=C9),Begegnungen!$C$95,""))</f>
        <v/>
      </c>
      <c r="O9" s="66">
        <f>IF(OR(Begegnungen!$I87=C9,Begegnungen!$I$85=C9,Begegnungen!$I$86=C9,Begegnungen!$I$87=C9,Begegnungen!$I$88=C9,Begegnungen!$I$89=C9,Begegnungen!$I$90=C9),Begegnungen!$K$95,IF(OR(Begegnungen!$K$84=C9,Begegnungen!$K$85=C9,Begegnungen!$K$86=C9,Begegnungen!$K$87=C9,Begegnungen!$K$88=C9,Begegnungen!$K$89=C9,Begegnungen!$K$90=C9),Begegnungen!$I$95,""))</f>
        <v>2</v>
      </c>
      <c r="P9" s="66" t="str">
        <f>IF(OR(Begegnungen!$C104=C9,Begegnungen!$C$102=C9,Begegnungen!$C$103=C9,Begegnungen!$C$104=C9,Begegnungen!$C$105=C9,Begegnungen!$C$106=C9,Begegnungen!$C$107=C9),Begegnungen!$E$111,IF(OR(Begegnungen!$E$101=C9,Begegnungen!$E$102=C9,Begegnungen!$E$103=C9,Begegnungen!$E$104=C9,Begegnungen!$E$105=C9,Begegnungen!$E$106=C9,Begegnungen!$E$107=C9),Begegnungen!$C$111,""))</f>
        <v/>
      </c>
      <c r="Q9" s="66" t="str">
        <f>IF(OR(Begegnungen!$I104=C9,Begegnungen!$I$102=C9,Begegnungen!$I$103=C9,Begegnungen!$I$104=C9,Begegnungen!$I$105=C9,Begegnungen!$I$106=C9,Begegnungen!$I$107=C9),Begegnungen!$K$111,IF(OR(Begegnungen!$K$101=C9,Begegnungen!$K$102=C9,Begegnungen!$K$103=C9,Begegnungen!$K$104=C9,Begegnungen!$K$105=C9,Begegnungen!$K$106=C9,Begegnungen!$K$107=C9),Begegnungen!$I$111,""))</f>
        <v/>
      </c>
      <c r="R9" s="136">
        <f>IF(OR(Begegnungen!$C120=C9,Begegnungen!$C$118=C9,Begegnungen!$C$119=C9,Begegnungen!$C$120=C9,Begegnungen!$C$121=C9,Begegnungen!$C$122=C9,Begegnungen!$C$123=C9),Begegnungen!$E$127,IF(OR(Begegnungen!$E$117=C9,Begegnungen!$E$118=C9,Begegnungen!$E$119=C9,Begegnungen!$E$120=C9,Begegnungen!$E$121=C9,Begegnungen!$E$122=C9,Begegnungen!$E$123=C9),Begegnungen!$C$127,""))</f>
        <v>4</v>
      </c>
      <c r="S9" s="66">
        <f>IF(OR(Begegnungen!$I$117=C9,Begegnungen!$I$118=C9,Begegnungen!$I$119=C9,Begegnungen!$I$120=C9,Begegnungen!$I$121=C9,Begegnungen!$I$122=C9,Begegnungen!$I$123=C9),Begegnungen!$K$127,IF(OR(Begegnungen!$K$117=C9,Begegnungen!$K$118=C9,Begegnungen!$K$119=C9,Begegnungen!$K$120=C9,Begegnungen!$K$121=C9,Begegnungen!$K$122=C9,Begegnungen!$K$123=C9),Begegnungen!$I$127,""))</f>
        <v>3</v>
      </c>
      <c r="T9" s="66">
        <f>IF(OR(Begegnungen!$C136=C9,Begegnungen!$C$134=C9,Begegnungen!$C$135=C9,Begegnungen!$C$136=C9,Begegnungen!$C$137=C9,Begegnungen!$C$138=C9,Begegnungen!$C$139=C9),Begegnungen!$E$143,IF(OR(Begegnungen!$E$133=C9,Begegnungen!$E$134=C9,Begegnungen!$E$135=C9,Begegnungen!$E$136=C9,Begegnungen!$E$137=C9,Begegnungen!$E$138=C9,Begegnungen!$E$139=C9),Begegnungen!$C$143,""))</f>
        <v>2</v>
      </c>
      <c r="U9" s="66" t="str">
        <f>IF(OR(Begegnungen!$I136=C9,Begegnungen!$I$134=C9,Begegnungen!$I$135=C9,Begegnungen!$I$136=C9,Begegnungen!$I$137=C9,Begegnungen!$I$138=C9,Begegnungen!$I$139=C9),Begegnungen!$K$143,IF(OR(Begegnungen!$K$133=C9,Begegnungen!$K$134=C9,Begegnungen!$K$135=C9,Begegnungen!$K$136=C9,Begegnungen!$K$137=C9,Begegnungen!$K$138=C9,Begegnungen!$K$139=C9),Begegnungen!$I$143,""))</f>
        <v/>
      </c>
      <c r="V9" s="66">
        <f>IF(OR(Begegnungen!$C152=C9,Begegnungen!$C$150=C9,Begegnungen!$C$151=C9,Begegnungen!$C$152=C9,Begegnungen!$C$153=C9,Begegnungen!$C$154=C9,Begegnungen!$C$155=C9),Begegnungen!$E$159,IF(OR(Begegnungen!$E$149=C9,Begegnungen!$E$150=C9,Begegnungen!$E$151=C9,Begegnungen!$E$152=C9,Begegnungen!$E$153=C9,Begegnungen!$E$154=C9,Begegnungen!$E$155=C9),Begegnungen!$C$159,""))</f>
        <v>4</v>
      </c>
      <c r="W9" s="66" t="str">
        <f>IF(OR(Begegnungen!$I152=C9,Begegnungen!$I$150=C9,Begegnungen!$I$151=C9,Begegnungen!$I$152=C9,Begegnungen!$I$153=C9,Begegnungen!$I$154=C9,Begegnungen!$I$155=C9),Begegnungen!$K$159,IF(OR(Begegnungen!$K$149=C9,Begegnungen!$K$150=C9,Begegnungen!$K$151=C9,Begegnungen!$K$152=C9,Begegnungen!$K$153=C9,Begegnungen!$K$154=C9,Begegnungen!$K$155=C9),Begegnungen!$I$159,""))</f>
        <v/>
      </c>
      <c r="X9" s="66" t="str">
        <f>IF(OR(Begegnungen!$C168=C9,Begegnungen!$C$166=C9,Begegnungen!$C$167=C9,Begegnungen!$C$168=C9,Begegnungen!$C$169=C9,Begegnungen!$C$170=C9,Begegnungen!$C$171=C9),Begegnungen!$E$175,IF(OR(Begegnungen!$E$165=C9,Begegnungen!$E$166=C9,Begegnungen!$E$167=C9,Begegnungen!$E$168=C9,Begegnungen!$E$169=C9,Begegnungen!$E$170=C9,Begegnungen!$E$171=C9),Begegnungen!$C$175,""))</f>
        <v/>
      </c>
      <c r="Y9" s="66">
        <f>IF(OR(Begegnungen!$I168=C9,Begegnungen!$I$166=C9,Begegnungen!$I$167=C9,Begegnungen!$I$168=C9,Begegnungen!$I$169=C9,Begegnungen!$I$170=C9,Begegnungen!$I$171=C9),Begegnungen!$K$175,IF(OR(Begegnungen!$K$165=C9,Begegnungen!$K$166=C9,Begegnungen!$K$167=C9,Begegnungen!$K$168=C9,Begegnungen!$K$169=C9,Begegnungen!$K$170=C9,Begegnungen!$K$171=C9),Begegnungen!$I$175,""))</f>
        <v>4</v>
      </c>
      <c r="Z9" s="66">
        <f>IF(OR(Begegnungen!$C184=C9,Begegnungen!$C$182=C9,Begegnungen!$C$183=C9,Begegnungen!$C$184=C9,Begegnungen!$C$185=C9,Begegnungen!$C$186=C9,Begegnungen!$C$187=C9),Begegnungen!$E$191,IF(OR(Begegnungen!$E$181=C9,Begegnungen!$E$182=C9,Begegnungen!$E$183=C9,Begegnungen!$E$184=C9,Begegnungen!$E$185=C9,Begegnungen!$E$186=C9,Begegnungen!$E$187=C9),Begegnungen!$C$191,""))</f>
        <v>7</v>
      </c>
      <c r="AA9" s="66" t="str">
        <f>IF(OR(Begegnungen!$I184=C9,Begegnungen!$I$182=C9,Begegnungen!$I$183=C9,Begegnungen!$I$184=C9,Begegnungen!$I$185=C9,Begegnungen!$I$186=C9,Begegnungen!$I$187=C9),Begegnungen!$K$191,IF(OR(Begegnungen!$K$181=C9,Begegnungen!$K$182=C9,Begegnungen!$K$183=C9,Begegnungen!$K$184=C9,Begegnungen!$K$185=C9,Begegnungen!$K$186=C9,Begegnungen!$K$187=C9),Begegnungen!$I$191,""))</f>
        <v/>
      </c>
      <c r="AB9" s="66">
        <f>IF(OR(Begegnungen!$C200=C9,Begegnungen!$C$198=C9,Begegnungen!$C$199=C9,Begegnungen!$C$200=C9,Begegnungen!$C$201=C9,Begegnungen!$C$202=C9,Begegnungen!$C$203=C9),Begegnungen!$E$207,IF(OR(Begegnungen!$E$197=C9,Begegnungen!$E$198=C9,Begegnungen!$E$199=C9,Begegnungen!$E$200=C9,Begegnungen!$E$201=C9,Begegnungen!$E$202=C9,Begegnungen!$E$203=C9),Begegnungen!$C$207,""))</f>
        <v>1</v>
      </c>
      <c r="AC9" s="66">
        <f>IF(OR(Begegnungen!$I200=C9,Begegnungen!$I$198=C9,Begegnungen!$I$199=C9,Begegnungen!$I$200=C9,Begegnungen!$I$201=C9,Begegnungen!$I$202=C9,Begegnungen!$I$203=C9),Begegnungen!$K$207,IF(OR(Begegnungen!$K$197=C9,Begegnungen!$K$198=C9,Begegnungen!$K$199=C9,Begegnungen!$K$200=C9,Begegnungen!$K$201=C9,Begegnungen!$K$202=C9,Begegnungen!$K$203=C9),Begegnungen!$I$207,""))</f>
        <v>5</v>
      </c>
      <c r="AD9" s="66">
        <f>IF(OR(Begegnungen!$C216=C9,Begegnungen!$C$214=C9,Begegnungen!$C$215=C9,Begegnungen!$C$216=C9,Begegnungen!$C$217=C9,Begegnungen!$C$218=C9,Begegnungen!$C$219=C9),Begegnungen!$E$223,IF(OR(Begegnungen!$E$213=C9,Begegnungen!$E$214=C9,Begegnungen!$E$215=C9,Begegnungen!$E$216=C9,Begegnungen!$E$217=C9,Begegnungen!$E$218=C9,Begegnungen!$E$219=C9),Begegnungen!$C$223,""))</f>
        <v>3</v>
      </c>
      <c r="AE9" s="66">
        <f>IF(OR(Begegnungen!$I216=C9,Begegnungen!$I$214=C9,Begegnungen!$I$215=C9,Begegnungen!$I$216=C9,Begegnungen!$I$217=C9,Begegnungen!$I$218=C9,Begegnungen!$I$219=C9),Begegnungen!$K$223,IF(OR(Begegnungen!$K$213=C9,Begegnungen!$K$214=C9,Begegnungen!$K$215=C9,Begegnungen!$K$216=C9,Begegnungen!$K$217=C9,Begegnungen!$K$218=C9,Begegnungen!$K$219=C9),Begegnungen!$I$223,""))</f>
        <v>4</v>
      </c>
      <c r="AF9" s="136" t="str">
        <f>IF(OR(Begegnungen!$C232=C9,Begegnungen!$C$230=C9,Begegnungen!$C$231=C9,Begegnungen!$C$232=C9,Begegnungen!$C$233=C9,Begegnungen!$C$234=C9,Begegnungen!$C$235=C9),Begegnungen!$E$239,IF(OR(Begegnungen!$E$229=C9,Begegnungen!$E$230=C9,Begegnungen!$E$231=C9,Begegnungen!$E$232=C9,Begegnungen!$E$233=C9,Begegnungen!$E$234=C9,Begegnungen!$E$235=C9),Begegnungen!$C$239,""))</f>
        <v/>
      </c>
      <c r="AG9" s="66">
        <f>IF(OR(Begegnungen!$I232=C9,Begegnungen!$I$230=C9,Begegnungen!$I$231=C9,Begegnungen!$I$232=C9,Begegnungen!$I$233=C9,Begegnungen!$I$234=C9,Begegnungen!$I$235=C9),Begegnungen!$K$239,IF(OR(Begegnungen!$K$229=C9,Begegnungen!$K$230=C9,Begegnungen!$K$231=C9,Begegnungen!$K$232=C9,Begegnungen!$K$233=C9,Begegnungen!$K$234=C9,Begegnungen!$K$235=C9),Begegnungen!$I$239,""))</f>
        <v>5</v>
      </c>
      <c r="AH9" s="66">
        <f>IF(OR(Begegnungen!$C248=C9,Begegnungen!$C$246=C9,Begegnungen!$C$247=C9,Begegnungen!$C$248=C9,Begegnungen!$C$249=C9,Begegnungen!$C$250=C9,Begegnungen!$C$251=C9),Begegnungen!$E$255,IF(OR(Begegnungen!$E$245=C9,Begegnungen!$E$246=C9,Begegnungen!$E$247=C9,Begegnungen!$E$248=C9,Begegnungen!$E$249=C9,Begegnungen!$E$250=C9,Begegnungen!$E$251=C9),Begegnungen!$C$255,""))</f>
        <v>2</v>
      </c>
      <c r="AI9" s="66" t="str">
        <f>IF(OR(Begegnungen!$I248=C9,Begegnungen!$I$246=C9,Begegnungen!$I$247=C9,Begegnungen!$I$248=C9,Begegnungen!$I$249=C9,Begegnungen!$I$250=C9,Begegnungen!$I$251=C9),Begegnungen!$K$255,IF(OR(Begegnungen!$K$245=C9,Begegnungen!$K$246=C9,Begegnungen!$K$247=C9,Begegnungen!$K$248=C9,Begegnungen!$K$249=C9,Begegnungen!$K$250=C9,Begegnungen!$K$251=C9),Begegnungen!$I$255,""))</f>
        <v/>
      </c>
      <c r="AJ9" s="66">
        <f>IF(OR(Begegnungen!$C264=C9,Begegnungen!$C$262=C9,Begegnungen!$C$263=C9,Begegnungen!$C$264=C9,Begegnungen!$C$265=C9,Begegnungen!$C$266=C9,Begegnungen!$C$267=C9),Begegnungen!$E$271,IF(OR(Begegnungen!$E$261=C9,Begegnungen!$E$262=C9,Begegnungen!$E$263=C9,Begegnungen!$E$264=C9,Begegnungen!$E$265=C9,Begegnungen!$E$266=C9,Begegnungen!$E$267=C9),Begegnungen!$C$271,""))</f>
        <v>5</v>
      </c>
      <c r="AK9" s="66" t="str">
        <f>IF(OR(Begegnungen!$I264=C9,Begegnungen!$I$262=C9,Begegnungen!$I$263=C9,Begegnungen!$I$264=C9,Begegnungen!$I$265=C9,Begegnungen!$I$266=C9,Begegnungen!$I$267=C9),Begegnungen!$K$271,IF(OR(Begegnungen!$K$261=C9,Begegnungen!$K$262=C9,Begegnungen!$K$263=C9,Begegnungen!$K$264=C9,Begegnungen!$K$265=C9,Begegnungen!$K$266=C9,Begegnungen!$K$267=C9),Begegnungen!$I$271,""))</f>
        <v/>
      </c>
      <c r="AL9" s="66">
        <f>IF(OR(Begegnungen!$C280=C9,Begegnungen!$C$278=C9,Begegnungen!$C$279=C9,Begegnungen!$C$280=C9,Begegnungen!$C$281=C9,Begegnungen!$C$282=C9,Begegnungen!$C$283=C9),Begegnungen!$E$287,IF(OR(Begegnungen!$E$277=C9,Begegnungen!$E$278=C9,Begegnungen!$E$279=C9,Begegnungen!$E$280=C9,Begegnungen!$E$281=C9,Begegnungen!$E$282=C9,Begegnungen!$E$283=C9),Begegnungen!$C$287,""))</f>
        <v>3</v>
      </c>
      <c r="AM9" s="136">
        <f>IF(OR(Begegnungen!$I280=C9,Begegnungen!$I$278=C9,Begegnungen!$I$279=C9,Begegnungen!$I$280=C9,Begegnungen!$I$281=C9,Begegnungen!$I$282=C9,Begegnungen!$I$283=C9),Begegnungen!$K$287,IF(OR(Begegnungen!$K$277=C9,Begegnungen!$K$278=C9,Begegnungen!$K$279=C9,Begegnungen!$K$280=C9,Begegnungen!$K$281=C9,Begegnungen!$K$282=C9,Begegnungen!$K$283=C9),Begegnungen!$I$287,""))</f>
        <v>2</v>
      </c>
      <c r="AN9" s="66">
        <f>IF(OR(Begegnungen!$C296=C9,Begegnungen!$C$294=C9,Begegnungen!$C$295=C9,Begegnungen!$C$296=C9,Begegnungen!$C$297=C9,Begegnungen!$C$298=C9,Begegnungen!$C$299=C9),Begegnungen!$E$303,IF(OR(Begegnungen!$E$293=C9,Begegnungen!$E$294=C9,Begegnungen!$E$295=C9,Begegnungen!$E$296=C9,Begegnungen!$E$297=C9,Begegnungen!$E$298=C9,Begegnungen!$E$299=C9),Begegnungen!$C$303,""))</f>
        <v>0</v>
      </c>
      <c r="AO9" s="136">
        <f>IF(OR(Begegnungen!$I296=C9,Begegnungen!$I$294=C9,Begegnungen!$I$295=C9,Begegnungen!$I$296=C9,Begegnungen!$I$297=C9,Begegnungen!$I$298=C9,Begegnungen!$I$299=C9),Begegnungen!$K$303,IF(OR(Begegnungen!$K$293=C9,Begegnungen!$K$294=C9,Begegnungen!$K$295=C9,Begegnungen!$K$296=C9,Begegnungen!$K$297=C9,Begegnungen!$K$298=C9,Begegnungen!$K$299=C9),Begegnungen!$I$303,""))</f>
        <v>0</v>
      </c>
      <c r="AP9" s="136">
        <f>IF(OR(Begegnungen!$C312=C9,Begegnungen!$C$310=C9,Begegnungen!$C$311=C9,Begegnungen!$C$312=C9,Begegnungen!$C$313=C9,Begegnungen!$C$314=C9,Begegnungen!$C$315=C9),Begegnungen!$E$319,IF(OR(Begegnungen!$E$309=C9,Begegnungen!$E$310=C9,Begegnungen!$E$311=C9,Begegnungen!$E$312=C9,Begegnungen!$E$313=C9,Begegnungen!$E$314=C9,Begegnungen!$E$315=C9),Begegnungen!$C$319,""))</f>
        <v>7</v>
      </c>
      <c r="AQ9" s="66">
        <f>IF(OR(Begegnungen!$I312=C9,Begegnungen!$I$310=C9,Begegnungen!$I$311=C9,Begegnungen!$I$312=C9,Begegnungen!$I$313=C9,Begegnungen!$I$314=C9,Begegnungen!$I$315=C9),Begegnungen!$K$319,IF(OR(Begegnungen!$K$309=C9,Begegnungen!$K$310=C9,Begegnungen!$K$311=C9,Begegnungen!$K$312=C9,Begegnungen!$K$313=C9,Begegnungen!$K$314=C9,Begegnungen!$K$315=C9),Begegnungen!$I$319,""))</f>
        <v>1</v>
      </c>
      <c r="AR9" s="25">
        <f t="shared" si="0"/>
        <v>66</v>
      </c>
      <c r="AS9" s="139">
        <f>Spiele!AS9</f>
        <v>21</v>
      </c>
      <c r="AT9" s="140">
        <f t="shared" si="1"/>
        <v>3.1428571428571428</v>
      </c>
    </row>
    <row r="10" spans="2:46" x14ac:dyDescent="0.25">
      <c r="B10" s="3">
        <v>5</v>
      </c>
      <c r="C10" s="65" t="s">
        <v>22</v>
      </c>
      <c r="D10" s="66">
        <f>IF(OR(Begegnungen!$C$3=C10,Begegnungen!$C$4=C10,Begegnungen!$C$5=C10,Begegnungen!$C$6=C10,Begegnungen!$C$7=C10,Begegnungen!$C$8=C10,Begegnungen!$C$9=C10),Begegnungen!$E$13,IF(OR(Begegnungen!$E$3=C10,Begegnungen!$E$4=C10,Begegnungen!$E$5=C10,Begegnungen!$E$6=C10,Begegnungen!$E$7=C10,Begegnungen!$E$8=C10,Begegnungen!$E$9=C10),Begegnungen!$C$13,""))</f>
        <v>2</v>
      </c>
      <c r="E10" s="66">
        <f>IF(OR(Begegnungen!$I$3=C10,Begegnungen!$I$4=C10,Begegnungen!$I$5=C10,Begegnungen!$I$6=C10,Begegnungen!$I$7=C10,Begegnungen!$I$8=C10,Begegnungen!$I$9=C10),Begegnungen!$K$13,IF(OR(Begegnungen!$K$3=C10,Begegnungen!$K$4=C10,Begegnungen!$K$5=C10,Begegnungen!$K$6=C10,Begegnungen!$K$7=C10,Begegnungen!$K$8=C10,Begegnungen!$K$9=C10),Begegnungen!$I$13,""))</f>
        <v>0</v>
      </c>
      <c r="F10" s="66" t="str">
        <f>IF(OR(Begegnungen!$C$19=C10,Begegnungen!$C$20=C10,Begegnungen!$C$21=C10,Begegnungen!$C$22=C10,Begegnungen!$C$23=C10,Begegnungen!$C$24=C10,Begegnungen!$C$25=C10),Begegnungen!$E$29,IF(OR(Begegnungen!$E$19=C10,Begegnungen!$E$20=C10,Begegnungen!$E$21=C10,Begegnungen!$E$22=C10,Begegnungen!$E$23=C10,Begegnungen!$E$24=C10,Begegnungen!$E$25=C10),Begegnungen!$C$29,""))</f>
        <v/>
      </c>
      <c r="G10" s="66">
        <f>IF(OR(Begegnungen!$I$19=C10,Begegnungen!$I$20=C10,Begegnungen!$I$21=C10,Begegnungen!$I$22=C10,Begegnungen!$I$23=C10,Begegnungen!$I$24=C10,Begegnungen!$I$25=C10),Begegnungen!$K$29,IF(OR(Begegnungen!$K$19=C10,Begegnungen!$K$20=C10,Begegnungen!$K$21=C10,Begegnungen!$K$22=C10,Begegnungen!$K$23=C10,Begegnungen!$K$24=C10,Begegnungen!$K$25=C10),Begegnungen!$I$29,""))</f>
        <v>2</v>
      </c>
      <c r="H10" s="66">
        <f>IF(OR(Begegnungen!$C$35=C10,Begegnungen!$C$36=C10,Begegnungen!$C$37=C10,Begegnungen!$C$38=C10,Begegnungen!$C$39=C10,Begegnungen!$C$40=C10,Begegnungen!$C$41=C10),Begegnungen!$E$46,IF(OR(Begegnungen!$E$35=C10,Begegnungen!$E$36=C10,Begegnungen!$E$37=C10,Begegnungen!$E$38=C10,Begegnungen!$E$39=C10,Begegnungen!$E$40=C10,Begegnungen!$E$41=C10),Begegnungen!$C$46,""))</f>
        <v>6</v>
      </c>
      <c r="I10" s="66">
        <f>IF(OR(Begegnungen!$I$35=C10,Begegnungen!$I$36=C10,Begegnungen!$I$37=C10,Begegnungen!$I$38=C10,Begegnungen!$I$39=C10,Begegnungen!$I$40=C10,Begegnungen!$I$41=C10),Begegnungen!$K$46,IF(OR(Begegnungen!$K$35=C10,Begegnungen!$K$36=C10,Begegnungen!$K$37=C10,Begegnungen!$K$38=C10,Begegnungen!$K$39=C10,Begegnungen!$K$40=C10,Begegnungen!$K$41=C10),Begegnungen!$I$46,""))</f>
        <v>3</v>
      </c>
      <c r="J10" s="136">
        <f>IF(OR(Begegnungen!$C$52=C10,Begegnungen!$C$53=C10,Begegnungen!$C$54=C10,Begegnungen!$C$55=C10,Begegnungen!$C$56=C10,Begegnungen!$C$57=C10,Begegnungen!$C$58=C10),Begegnungen!$E$62,IF(OR(Begegnungen!$E$52=C10,Begegnungen!$E$53=C10,Begegnungen!$E$54=C10,Begegnungen!$E$55=C10,Begegnungen!$E$56=C10,Begegnungen!$E$57=C10,Begegnungen!$E$58=C10),Begegnungen!$C$62,""))</f>
        <v>3</v>
      </c>
      <c r="K10" s="66">
        <f>IF(OR(Begegnungen!$I$52=C10,Begegnungen!$I$53=C10,Begegnungen!$I$54=C10,Begegnungen!$I$55=C10,Begegnungen!$I$56=C10,Begegnungen!$I$57=C10,Begegnungen!$I$58=C10),Begegnungen!$K$62,IF(OR(Begegnungen!$K$52=C10,Begegnungen!$K$53=C10,Begegnungen!$K$54=C10,Begegnungen!$K$55=C10,Begegnungen!$K$56=C10,Begegnungen!$K$57=C10,Begegnungen!$K$58=C10),Begegnungen!$I$62,""))</f>
        <v>1</v>
      </c>
      <c r="L10" s="136">
        <f>IF(OR(Begegnungen!$C72=C10,Begegnungen!$C$69=C10,Begegnungen!$C$70=C10,Begegnungen!$C$71=C10,Begegnungen!$C$72=C10,Begegnungen!$C$73=C10,Begegnungen!$C$74=C10),Begegnungen!$E$78,IF(OR(Begegnungen!$E$68=C10,Begegnungen!$E$69=C10,Begegnungen!$E$70=C10,Begegnungen!$E$71=C10,Begegnungen!$E$72=C10,Begegnungen!$E$73=C10,Begegnungen!$E$74=C10),Begegnungen!$C$78,""))</f>
        <v>4</v>
      </c>
      <c r="M10" s="66" t="str">
        <f>IF(OR(Begegnungen!$I72=C10,Begegnungen!$I$69=C10,Begegnungen!$I$70=C10,Begegnungen!$I$71=C10,Begegnungen!$I$72=C10,Begegnungen!$I$73=C10,Begegnungen!$I$74=C10),Begegnungen!$K$78,IF(OR(Begegnungen!$K$68=C10,Begegnungen!$K$69=C10,Begegnungen!$K$70=C10,Begegnungen!$K$71=C10,Begegnungen!$K$72=C10,Begegnungen!$K$73=C10,Begegnungen!$K$74=C10),Begegnungen!$I$78,""))</f>
        <v/>
      </c>
      <c r="N10" s="66">
        <f>IF(OR(Begegnungen!$C88=C10,Begegnungen!$C$85=C10,Begegnungen!$C$86=C10,Begegnungen!$C$87=C10,Begegnungen!$C$88=C10,Begegnungen!$C$89=C10,Begegnungen!$C$90=C10),Begegnungen!$E$95,IF(OR(Begegnungen!$E$84=C10,Begegnungen!$E$85=C10,Begegnungen!$E$86=C10,Begegnungen!$E$87=C10,Begegnungen!$E$88=C10,Begegnungen!$E$89=C10,Begegnungen!$E$90=C10),Begegnungen!$C$95,""))</f>
        <v>1</v>
      </c>
      <c r="O10" s="66">
        <f>IF(OR(Begegnungen!$I88=C10,Begegnungen!$I$85=C10,Begegnungen!$I$86=C10,Begegnungen!$I$87=C10,Begegnungen!$I$88=C10,Begegnungen!$I$89=C10,Begegnungen!$I$90=C10),Begegnungen!$K$95,IF(OR(Begegnungen!$K$84=C10,Begegnungen!$K$85=C10,Begegnungen!$K$86=C10,Begegnungen!$K$87=C10,Begegnungen!$K$88=C10,Begegnungen!$K$89=C10,Begegnungen!$K$90=C10),Begegnungen!$I$95,""))</f>
        <v>2</v>
      </c>
      <c r="P10" s="66">
        <f>IF(OR(Begegnungen!$C105=C10,Begegnungen!$C$102=C10,Begegnungen!$C$103=C10,Begegnungen!$C$104=C10,Begegnungen!$C$105=C10,Begegnungen!$C$106=C10,Begegnungen!$C$107=C10),Begegnungen!$E$111,IF(OR(Begegnungen!$E$101=C10,Begegnungen!$E$102=C10,Begegnungen!$E$103=C10,Begegnungen!$E$104=C10,Begegnungen!$E$105=C10,Begegnungen!$E$106=C10,Begegnungen!$E$107=C10),Begegnungen!$C$111,""))</f>
        <v>2</v>
      </c>
      <c r="Q10" s="66">
        <f>IF(OR(Begegnungen!$I105=C10,Begegnungen!$I$102=C10,Begegnungen!$I$103=C10,Begegnungen!$I$104=C10,Begegnungen!$I$105=C10,Begegnungen!$I$106=C10,Begegnungen!$I$107=C10),Begegnungen!$K$111,IF(OR(Begegnungen!$K$101=C10,Begegnungen!$K$102=C10,Begegnungen!$K$103=C10,Begegnungen!$K$104=C10,Begegnungen!$K$105=C10,Begegnungen!$K$106=C10,Begegnungen!$K$107=C10),Begegnungen!$I$111,""))</f>
        <v>0</v>
      </c>
      <c r="R10" s="136">
        <f>IF(OR(Begegnungen!$C121=C10,Begegnungen!$C$118=C10,Begegnungen!$C$119=C10,Begegnungen!$C$120=C10,Begegnungen!$C$121=C10,Begegnungen!$C$122=C10,Begegnungen!$C$123=C10),Begegnungen!$E$127,IF(OR(Begegnungen!$E$117=C10,Begegnungen!$E$118=C10,Begegnungen!$E$119=C10,Begegnungen!$E$120=C10,Begegnungen!$E$121=C10,Begegnungen!$E$122=C10,Begegnungen!$E$123=C10),Begegnungen!$C$127,""))</f>
        <v>1</v>
      </c>
      <c r="S10" s="66">
        <f>IF(OR(Begegnungen!$I$117=C10,Begegnungen!$I$118=C10,Begegnungen!$I$119=C10,Begegnungen!$I$120=C10,Begegnungen!$I$121=C10,Begegnungen!$I$122=C10,Begegnungen!$I$123=C10),Begegnungen!$K$127,IF(OR(Begegnungen!$K$117=C10,Begegnungen!$K$118=C10,Begegnungen!$K$119=C10,Begegnungen!$K$120=C10,Begegnungen!$K$121=C10,Begegnungen!$K$122=C10,Begegnungen!$K$123=C10),Begegnungen!$I$127,""))</f>
        <v>4</v>
      </c>
      <c r="T10" s="66">
        <f>IF(OR(Begegnungen!$C137=C10,Begegnungen!$C$134=C10,Begegnungen!$C$135=C10,Begegnungen!$C$136=C10,Begegnungen!$C$137=C10,Begegnungen!$C$138=C10,Begegnungen!$C$139=C10),Begegnungen!$E$143,IF(OR(Begegnungen!$E$133=C10,Begegnungen!$E$134=C10,Begegnungen!$E$135=C10,Begegnungen!$E$136=C10,Begegnungen!$E$137=C10,Begegnungen!$E$138=C10,Begegnungen!$E$139=C10),Begegnungen!$C$143,""))</f>
        <v>6</v>
      </c>
      <c r="U10" s="66">
        <f>IF(OR(Begegnungen!$I137=C10,Begegnungen!$I$134=C10,Begegnungen!$I$135=C10,Begegnungen!$I$136=C10,Begegnungen!$I$137=C10,Begegnungen!$I$138=C10,Begegnungen!$I$139=C10),Begegnungen!$K$143,IF(OR(Begegnungen!$K$133=C10,Begegnungen!$K$134=C10,Begegnungen!$K$135=C10,Begegnungen!$K$136=C10,Begegnungen!$K$137=C10,Begegnungen!$K$138=C10,Begegnungen!$K$139=C10),Begegnungen!$I$143,""))</f>
        <v>2</v>
      </c>
      <c r="V10" s="66">
        <f>IF(OR(Begegnungen!$C153=C10,Begegnungen!$C$150=C10,Begegnungen!$C$151=C10,Begegnungen!$C$152=C10,Begegnungen!$C$153=C10,Begegnungen!$C$154=C10,Begegnungen!$C$155=C10),Begegnungen!$E$159,IF(OR(Begegnungen!$E$149=C10,Begegnungen!$E$150=C10,Begegnungen!$E$151=C10,Begegnungen!$E$152=C10,Begegnungen!$E$153=C10,Begegnungen!$E$154=C10,Begegnungen!$E$155=C10),Begegnungen!$C$159,""))</f>
        <v>0</v>
      </c>
      <c r="W10" s="66">
        <f>IF(OR(Begegnungen!$I153=C10,Begegnungen!$I$150=C10,Begegnungen!$I$151=C10,Begegnungen!$I$152=C10,Begegnungen!$I$153=C10,Begegnungen!$I$154=C10,Begegnungen!$I$155=C10),Begegnungen!$K$159,IF(OR(Begegnungen!$K$149=C10,Begegnungen!$K$150=C10,Begegnungen!$K$151=C10,Begegnungen!$K$152=C10,Begegnungen!$K$153=C10,Begegnungen!$K$154=C10,Begegnungen!$K$155=C10),Begegnungen!$I$159,""))</f>
        <v>10</v>
      </c>
      <c r="X10" s="66">
        <f>IF(OR(Begegnungen!$C169=C10,Begegnungen!$C$166=C10,Begegnungen!$C$167=C10,Begegnungen!$C$168=C10,Begegnungen!$C$169=C10,Begegnungen!$C$170=C10,Begegnungen!$C$171=C10),Begegnungen!$E$175,IF(OR(Begegnungen!$E$165=C10,Begegnungen!$E$166=C10,Begegnungen!$E$167=C10,Begegnungen!$E$168=C10,Begegnungen!$E$169=C10,Begegnungen!$E$170=C10,Begegnungen!$E$171=C10),Begegnungen!$C$175,""))</f>
        <v>7</v>
      </c>
      <c r="Y10" s="66">
        <f>IF(OR(Begegnungen!$I169=C10,Begegnungen!$I$166=C10,Begegnungen!$I$167=C10,Begegnungen!$I$168=C10,Begegnungen!$I$169=C10,Begegnungen!$I$170=C10,Begegnungen!$I$171=C10),Begegnungen!$K$175,IF(OR(Begegnungen!$K$165=C10,Begegnungen!$K$166=C10,Begegnungen!$K$167=C10,Begegnungen!$K$168=C10,Begegnungen!$K$169=C10,Begegnungen!$K$170=C10,Begegnungen!$K$171=C10),Begegnungen!$I$175,""))</f>
        <v>0</v>
      </c>
      <c r="Z10" s="66">
        <f>IF(OR(Begegnungen!$C185=C10,Begegnungen!$C$182=C10,Begegnungen!$C$183=C10,Begegnungen!$C$184=C10,Begegnungen!$C$185=C10,Begegnungen!$C$186=C10,Begegnungen!$C$187=C10),Begegnungen!$E$191,IF(OR(Begegnungen!$E$181=C10,Begegnungen!$E$182=C10,Begegnungen!$E$183=C10,Begegnungen!$E$184=C10,Begegnungen!$E$185=C10,Begegnungen!$E$186=C10,Begegnungen!$E$187=C10),Begegnungen!$C$191,""))</f>
        <v>7</v>
      </c>
      <c r="AA10" s="66">
        <f>IF(OR(Begegnungen!$I185=C10,Begegnungen!$I$182=C10,Begegnungen!$I$183=C10,Begegnungen!$I$184=C10,Begegnungen!$I$185=C10,Begegnungen!$I$186=C10,Begegnungen!$I$187=C10),Begegnungen!$K$191,IF(OR(Begegnungen!$K$181=C10,Begegnungen!$K$182=C10,Begegnungen!$K$183=C10,Begegnungen!$K$184=C10,Begegnungen!$K$185=C10,Begegnungen!$K$186=C10,Begegnungen!$K$187=C10),Begegnungen!$I$191,""))</f>
        <v>2</v>
      </c>
      <c r="AB10" s="66">
        <f>IF(OR(Begegnungen!$C201=C10,Begegnungen!$C$198=C10,Begegnungen!$C$199=C10,Begegnungen!$C$200=C10,Begegnungen!$C$201=C10,Begegnungen!$C$202=C10,Begegnungen!$C$203=C10),Begegnungen!$E$207,IF(OR(Begegnungen!$E$197=C10,Begegnungen!$E$198=C10,Begegnungen!$E$199=C10,Begegnungen!$E$200=C10,Begegnungen!$E$201=C10,Begegnungen!$E$202=C10,Begegnungen!$E$203=C10),Begegnungen!$C$207,""))</f>
        <v>1</v>
      </c>
      <c r="AC10" s="66">
        <f>IF(OR(Begegnungen!$I201=C10,Begegnungen!$I$198=C10,Begegnungen!$I$199=C10,Begegnungen!$I$200=C10,Begegnungen!$I$201=C10,Begegnungen!$I$202=C10,Begegnungen!$I$203=C10),Begegnungen!$K$207,IF(OR(Begegnungen!$K$197=C10,Begegnungen!$K$198=C10,Begegnungen!$K$199=C10,Begegnungen!$K$200=C10,Begegnungen!$K$201=C10,Begegnungen!$K$202=C10,Begegnungen!$K$203=C10),Begegnungen!$I$207,""))</f>
        <v>5</v>
      </c>
      <c r="AD10" s="66" t="str">
        <f>IF(OR(Begegnungen!$C217=C10,Begegnungen!$C$214=C10,Begegnungen!$C$215=C10,Begegnungen!$C$216=C10,Begegnungen!$C$217=C10,Begegnungen!$C$218=C10,Begegnungen!$C$219=C10),Begegnungen!$E$223,IF(OR(Begegnungen!$E$213=C10,Begegnungen!$E$214=C10,Begegnungen!$E$215=C10,Begegnungen!$E$216=C10,Begegnungen!$E$217=C10,Begegnungen!$E$218=C10,Begegnungen!$E$219=C10),Begegnungen!$C$223,""))</f>
        <v/>
      </c>
      <c r="AE10" s="66">
        <f>IF(OR(Begegnungen!$I217=C10,Begegnungen!$I$214=C10,Begegnungen!$I$215=C10,Begegnungen!$I$216=C10,Begegnungen!$I$217=C10,Begegnungen!$I$218=C10,Begegnungen!$I$219=C10),Begegnungen!$K$223,IF(OR(Begegnungen!$K$213=C10,Begegnungen!$K$214=C10,Begegnungen!$K$215=C10,Begegnungen!$K$216=C10,Begegnungen!$K$217=C10,Begegnungen!$K$218=C10,Begegnungen!$K$219=C10),Begegnungen!$I$223,""))</f>
        <v>4</v>
      </c>
      <c r="AF10" s="136">
        <f>IF(OR(Begegnungen!$C233=C10,Begegnungen!$C$230=C10,Begegnungen!$C$231=C10,Begegnungen!$C$232=C10,Begegnungen!$C$233=C10,Begegnungen!$C$234=C10,Begegnungen!$C$235=C10),Begegnungen!$E$239,IF(OR(Begegnungen!$E$229=C10,Begegnungen!$E$230=C10,Begegnungen!$E$231=C10,Begegnungen!$E$232=C10,Begegnungen!$E$233=C10,Begegnungen!$E$234=C10,Begegnungen!$E$235=C10),Begegnungen!$C$239,""))</f>
        <v>4</v>
      </c>
      <c r="AG10" s="66">
        <f>IF(OR(Begegnungen!$I233=C10,Begegnungen!$I$230=C10,Begegnungen!$I$231=C10,Begegnungen!$I$232=C10,Begegnungen!$I$233=C10,Begegnungen!$I$234=C10,Begegnungen!$I$235=C10),Begegnungen!$K$239,IF(OR(Begegnungen!$K$229=C10,Begegnungen!$K$230=C10,Begegnungen!$K$231=C10,Begegnungen!$K$232=C10,Begegnungen!$K$233=C10,Begegnungen!$K$234=C10,Begegnungen!$K$235=C10),Begegnungen!$I$239,""))</f>
        <v>1</v>
      </c>
      <c r="AH10" s="66">
        <f>IF(OR(Begegnungen!$C249=C10,Begegnungen!$C$246=C10,Begegnungen!$C$247=C10,Begegnungen!$C$248=C10,Begegnungen!$C$249=C10,Begegnungen!$C$250=C10,Begegnungen!$C$251=C10),Begegnungen!$E$255,IF(OR(Begegnungen!$E$245=C10,Begegnungen!$E$246=C10,Begegnungen!$E$247=C10,Begegnungen!$E$248=C10,Begegnungen!$E$249=C10,Begegnungen!$E$250=C10,Begegnungen!$E$251=C10),Begegnungen!$C$255,""))</f>
        <v>4</v>
      </c>
      <c r="AI10" s="66">
        <f>IF(OR(Begegnungen!$I249=C10,Begegnungen!$I$246=C10,Begegnungen!$I$247=C10,Begegnungen!$I$248=C10,Begegnungen!$I$249=C10,Begegnungen!$I$250=C10,Begegnungen!$I$251=C10),Begegnungen!$K$255,IF(OR(Begegnungen!$K$245=C10,Begegnungen!$K$246=C10,Begegnungen!$K$247=C10,Begegnungen!$K$248=C10,Begegnungen!$K$249=C10,Begegnungen!$K$250=C10,Begegnungen!$K$251=C10),Begegnungen!$I$255,""))</f>
        <v>2</v>
      </c>
      <c r="AJ10" s="66">
        <f>IF(OR(Begegnungen!$C265=C10,Begegnungen!$C$262=C10,Begegnungen!$C$263=C10,Begegnungen!$C$264=C10,Begegnungen!$C$265=C10,Begegnungen!$C$266=C10,Begegnungen!$C$267=C10),Begegnungen!$E$271,IF(OR(Begegnungen!$E$261=C10,Begegnungen!$E$262=C10,Begegnungen!$E$263=C10,Begegnungen!$E$264=C10,Begegnungen!$E$265=C10,Begegnungen!$E$266=C10,Begegnungen!$E$267=C10),Begegnungen!$C$271,""))</f>
        <v>5</v>
      </c>
      <c r="AK10" s="66">
        <f>IF(OR(Begegnungen!$I265=C10,Begegnungen!$I$262=C10,Begegnungen!$I$263=C10,Begegnungen!$I$264=C10,Begegnungen!$I$265=C10,Begegnungen!$I$266=C10,Begegnungen!$I$267=C10),Begegnungen!$K$271,IF(OR(Begegnungen!$K$261=C10,Begegnungen!$K$262=C10,Begegnungen!$K$263=C10,Begegnungen!$K$264=C10,Begegnungen!$K$265=C10,Begegnungen!$K$266=C10,Begegnungen!$K$267=C10),Begegnungen!$I$271,""))</f>
        <v>1</v>
      </c>
      <c r="AL10" s="66">
        <f>IF(OR(Begegnungen!$C281=C10,Begegnungen!$C$278=C10,Begegnungen!$C$279=C10,Begegnungen!$C$280=C10,Begegnungen!$C$281=C10,Begegnungen!$C$282=C10,Begegnungen!$C$283=C10),Begegnungen!$E$287,IF(OR(Begegnungen!$E$277=C10,Begegnungen!$E$278=C10,Begegnungen!$E$279=C10,Begegnungen!$E$280=C10,Begegnungen!$E$281=C10,Begegnungen!$E$282=C10,Begegnungen!$E$283=C10),Begegnungen!$C$287,""))</f>
        <v>5</v>
      </c>
      <c r="AM10" s="136">
        <f>IF(OR(Begegnungen!$I281=C10,Begegnungen!$I$278=C10,Begegnungen!$I$279=C10,Begegnungen!$I$280=C10,Begegnungen!$I$281=C10,Begegnungen!$I$282=C10,Begegnungen!$I$283=C10),Begegnungen!$K$287,IF(OR(Begegnungen!$K$277=C10,Begegnungen!$K$278=C10,Begegnungen!$K$279=C10,Begegnungen!$K$280=C10,Begegnungen!$K$281=C10,Begegnungen!$K$282=C10,Begegnungen!$K$283=C10),Begegnungen!$I$287,""))</f>
        <v>2</v>
      </c>
      <c r="AN10" s="66">
        <f>IF(OR(Begegnungen!$C297=C10,Begegnungen!$C$294=C10,Begegnungen!$C$295=C10,Begegnungen!$C$296=C10,Begegnungen!$C$297=C10,Begegnungen!$C$298=C10,Begegnungen!$C$299=C10),Begegnungen!$E$303,IF(OR(Begegnungen!$E$293=C10,Begegnungen!$E$294=C10,Begegnungen!$E$295=C10,Begegnungen!$E$296=C10,Begegnungen!$E$297=C10,Begegnungen!$E$298=C10,Begegnungen!$E$299=C10),Begegnungen!$C$303,""))</f>
        <v>0</v>
      </c>
      <c r="AO10" s="136">
        <f>IF(OR(Begegnungen!$I297=C10,Begegnungen!$I$294=C10,Begegnungen!$I$295=C10,Begegnungen!$I$296=C10,Begegnungen!$I$297=C10,Begegnungen!$I$298=C10,Begegnungen!$I$299=C10),Begegnungen!$K$303,IF(OR(Begegnungen!$K$293=C10,Begegnungen!$K$294=C10,Begegnungen!$K$295=C10,Begegnungen!$K$296=C10,Begegnungen!$K$297=C10,Begegnungen!$K$298=C10,Begegnungen!$K$299=C10),Begegnungen!$I$303,""))</f>
        <v>0</v>
      </c>
      <c r="AP10" s="136" t="str">
        <f>IF(OR(Begegnungen!$C313=C10,Begegnungen!$C$310=C10,Begegnungen!$C$311=C10,Begegnungen!$C$312=C10,Begegnungen!$C$313=C10,Begegnungen!$C$314=C10,Begegnungen!$C$315=C10),Begegnungen!$E$319,IF(OR(Begegnungen!$E$309=C10,Begegnungen!$E$310=C10,Begegnungen!$E$311=C10,Begegnungen!$E$312=C10,Begegnungen!$E$313=C10,Begegnungen!$E$314=C10,Begegnungen!$E$315=C10),Begegnungen!$C$319,""))</f>
        <v/>
      </c>
      <c r="AQ10" s="66">
        <f>IF(OR(Begegnungen!$I313=C10,Begegnungen!$I$310=C10,Begegnungen!$I$311=C10,Begegnungen!$I$312=C10,Begegnungen!$I$313=C10,Begegnungen!$I$314=C10,Begegnungen!$I$315=C10),Begegnungen!$K$319,IF(OR(Begegnungen!$K$309=C10,Begegnungen!$K$310=C10,Begegnungen!$K$311=C10,Begegnungen!$K$312=C10,Begegnungen!$K$313=C10,Begegnungen!$K$314=C10,Begegnungen!$K$315=C10),Begegnungen!$I$319,""))</f>
        <v>4</v>
      </c>
      <c r="AR10" s="25">
        <f t="shared" si="0"/>
        <v>103</v>
      </c>
      <c r="AS10" s="139">
        <f>Spiele!AS10</f>
        <v>36</v>
      </c>
      <c r="AT10" s="140">
        <f t="shared" si="1"/>
        <v>2.8611111111111112</v>
      </c>
    </row>
    <row r="11" spans="2:46" x14ac:dyDescent="0.25">
      <c r="B11" s="3">
        <v>6</v>
      </c>
      <c r="C11" s="65" t="s">
        <v>17</v>
      </c>
      <c r="D11" s="66">
        <f>IF(OR(Begegnungen!$C$3=C11,Begegnungen!$C$4=C11,Begegnungen!$C$5=C11,Begegnungen!$C$6=C11,Begegnungen!$C$7=C11,Begegnungen!$C$8=C11,Begegnungen!$C$9=C11),Begegnungen!$E$13,IF(OR(Begegnungen!$E$3=C11,Begegnungen!$E$4=C11,Begegnungen!$E$5=C11,Begegnungen!$E$6=C11,Begegnungen!$E$7=C11,Begegnungen!$E$8=C11,Begegnungen!$E$9=C11),Begegnungen!$C$13,""))</f>
        <v>2</v>
      </c>
      <c r="E11" s="66">
        <f>IF(OR(Begegnungen!$I$3=C11,Begegnungen!$I$4=C11,Begegnungen!$I$5=C11,Begegnungen!$I$6=C11,Begegnungen!$I$7=C11,Begegnungen!$I$8=C11,Begegnungen!$I$9=C11),Begegnungen!$K$13,IF(OR(Begegnungen!$K$3=C11,Begegnungen!$K$4=C11,Begegnungen!$K$5=C11,Begegnungen!$K$6=C11,Begegnungen!$K$7=C11,Begegnungen!$K$8=C11,Begegnungen!$K$9=C11),Begegnungen!$I$13,""))</f>
        <v>0</v>
      </c>
      <c r="F11" s="66" t="str">
        <f>IF(OR(Begegnungen!$C$19=C11,Begegnungen!$C$20=C11,Begegnungen!$C$21=C11,Begegnungen!$C$22=C11,Begegnungen!$C$23=C11,Begegnungen!$C$24=C11,Begegnungen!$C$25=C11),Begegnungen!$E$29,IF(OR(Begegnungen!$E$19=C11,Begegnungen!$E$20=C11,Begegnungen!$E$21=C11,Begegnungen!$E$22=C11,Begegnungen!$E$23=C11,Begegnungen!$E$24=C11,Begegnungen!$E$25=C11),Begegnungen!$C$29,""))</f>
        <v/>
      </c>
      <c r="G11" s="66" t="str">
        <f>IF(OR(Begegnungen!$I$19=C11,Begegnungen!$I$20=C11,Begegnungen!$I$21=C11,Begegnungen!$I$22=C11,Begegnungen!$I$23=C11,Begegnungen!$I$24=C11,Begegnungen!$I$25=C11),Begegnungen!$K$29,IF(OR(Begegnungen!$K$19=C11,Begegnungen!$K$20=C11,Begegnungen!$K$21=C11,Begegnungen!$K$22=C11,Begegnungen!$K$23=C11,Begegnungen!$K$24=C11,Begegnungen!$K$25=C11),Begegnungen!$I$29,""))</f>
        <v/>
      </c>
      <c r="H11" s="66">
        <f>IF(OR(Begegnungen!$C$35=C11,Begegnungen!$C$36=C11,Begegnungen!$C$37=C11,Begegnungen!$C$38=C11,Begegnungen!$C$39=C11,Begegnungen!$C$40=C11,Begegnungen!$C$41=C11),Begegnungen!$E$46,IF(OR(Begegnungen!$E$35=C11,Begegnungen!$E$36=C11,Begegnungen!$E$37=C11,Begegnungen!$E$38=C11,Begegnungen!$E$39=C11,Begegnungen!$E$40=C11,Begegnungen!$E$41=C11),Begegnungen!$C$46,""))</f>
        <v>6</v>
      </c>
      <c r="I11" s="66">
        <f>IF(OR(Begegnungen!$I$35=C11,Begegnungen!$I$36=C11,Begegnungen!$I$37=C11,Begegnungen!$I$38=C11,Begegnungen!$I$39=C11,Begegnungen!$I$40=C11,Begegnungen!$I$41=C11),Begegnungen!$K$46,IF(OR(Begegnungen!$K$35=C11,Begegnungen!$K$36=C11,Begegnungen!$K$37=C11,Begegnungen!$K$38=C11,Begegnungen!$K$39=C11,Begegnungen!$K$40=C11,Begegnungen!$K$41=C11),Begegnungen!$I$46,""))</f>
        <v>3</v>
      </c>
      <c r="J11" s="136">
        <f>IF(OR(Begegnungen!$C$52=C11,Begegnungen!$C$53=C11,Begegnungen!$C$54=C11,Begegnungen!$C$55=C11,Begegnungen!$C$56=C11,Begegnungen!$C$57=C11,Begegnungen!$C$58=C11),Begegnungen!$E$62,IF(OR(Begegnungen!$E$52=C11,Begegnungen!$E$53=C11,Begegnungen!$E$54=C11,Begegnungen!$E$55=C11,Begegnungen!$E$56=C11,Begegnungen!$E$57=C11,Begegnungen!$E$58=C11),Begegnungen!$C$62,""))</f>
        <v>2</v>
      </c>
      <c r="K11" s="66">
        <f>IF(OR(Begegnungen!$I$52=C11,Begegnungen!$I$53=C11,Begegnungen!$I$54=C11,Begegnungen!$I$55=C11,Begegnungen!$I$56=C11,Begegnungen!$I$57=C11,Begegnungen!$I$58=C11),Begegnungen!$K$62,IF(OR(Begegnungen!$K$52=C11,Begegnungen!$K$53=C11,Begegnungen!$K$54=C11,Begegnungen!$K$55=C11,Begegnungen!$K$56=C11,Begegnungen!$K$57=C11,Begegnungen!$K$58=C11),Begegnungen!$I$62,""))</f>
        <v>4</v>
      </c>
      <c r="L11" s="136">
        <f>IF(OR(Begegnungen!$C73=C11,Begegnungen!$C$69=C11,Begegnungen!$C$70=C11,Begegnungen!$C$71=C11,Begegnungen!$C$72=C11,Begegnungen!$C$73=C11,Begegnungen!$C$74=C11),Begegnungen!$E$78,IF(OR(Begegnungen!$E$68=C11,Begegnungen!$E$69=C11,Begegnungen!$E$70=C11,Begegnungen!$E$71=C11,Begegnungen!$E$72=C11,Begegnungen!$E$73=C11,Begegnungen!$E$74=C11),Begegnungen!$C$78,""))</f>
        <v>3</v>
      </c>
      <c r="M11" s="66">
        <f>IF(OR(Begegnungen!$I73=C11,Begegnungen!$I$69=C11,Begegnungen!$I$70=C11,Begegnungen!$I$71=C11,Begegnungen!$I$72=C11,Begegnungen!$I$73=C11,Begegnungen!$I$74=C11),Begegnungen!$K$78,IF(OR(Begegnungen!$K$68=C11,Begegnungen!$K$69=C11,Begegnungen!$K$70=C11,Begegnungen!$K$71=C11,Begegnungen!$K$72=C11,Begegnungen!$K$73=C11,Begegnungen!$K$74=C11),Begegnungen!$I$78,""))</f>
        <v>0</v>
      </c>
      <c r="N11" s="66">
        <f>IF(OR(Begegnungen!$C89=C11,Begegnungen!$C$85=C11,Begegnungen!$C$86=C11,Begegnungen!$C$87=C11,Begegnungen!$C$88=C11,Begegnungen!$C$89=C11,Begegnungen!$C$90=C11),Begegnungen!$E$95,IF(OR(Begegnungen!$E$84=C11,Begegnungen!$E$85=C11,Begegnungen!$E$86=C11,Begegnungen!$E$87=C11,Begegnungen!$E$88=C11,Begegnungen!$E$89=C11,Begegnungen!$E$90=C11),Begegnungen!$C$95,""))</f>
        <v>3</v>
      </c>
      <c r="O11" s="66">
        <f>IF(OR(Begegnungen!$I89=C11,Begegnungen!$I$85=C11,Begegnungen!$I$86=C11,Begegnungen!$I$87=C11,Begegnungen!$I$88=C11,Begegnungen!$I$89=C11,Begegnungen!$I$90=C11),Begegnungen!$K$95,IF(OR(Begegnungen!$K$84=C11,Begegnungen!$K$85=C11,Begegnungen!$K$86=C11,Begegnungen!$K$87=C11,Begegnungen!$K$88=C11,Begegnungen!$K$89=C11,Begegnungen!$K$90=C11),Begegnungen!$I$95,""))</f>
        <v>1</v>
      </c>
      <c r="P11" s="66">
        <f>IF(OR(Begegnungen!$C106=C11,Begegnungen!$C$102=C11,Begegnungen!$C$103=C11,Begegnungen!$C$104=C11,Begegnungen!$C$105=C11,Begegnungen!$C$106=C11,Begegnungen!$C$107=C11),Begegnungen!$E$111,IF(OR(Begegnungen!$E$101=C11,Begegnungen!$E$102=C11,Begegnungen!$E$103=C11,Begegnungen!$E$104=C11,Begegnungen!$E$105=C11,Begegnungen!$E$106=C11,Begegnungen!$E$107=C11),Begegnungen!$C$111,""))</f>
        <v>2</v>
      </c>
      <c r="Q11" s="66">
        <f>IF(OR(Begegnungen!$I106=C11,Begegnungen!$I$102=C11,Begegnungen!$I$103=C11,Begegnungen!$I$104=C11,Begegnungen!$I$105=C11,Begegnungen!$I$106=C11,Begegnungen!$I$107=C11),Begegnungen!$K$111,IF(OR(Begegnungen!$K$101=C11,Begegnungen!$K$102=C11,Begegnungen!$K$103=C11,Begegnungen!$K$104=C11,Begegnungen!$K$105=C11,Begegnungen!$K$106=C11,Begegnungen!$K$107=C11),Begegnungen!$I$111,""))</f>
        <v>3</v>
      </c>
      <c r="R11" s="136">
        <f>IF(OR(Begegnungen!$C122=C11,Begegnungen!$C$118=C11,Begegnungen!$C$119=C11,Begegnungen!$C$120=C11,Begegnungen!$C$121=C11,Begegnungen!$C$122=C11,Begegnungen!$C$123=C11),Begegnungen!$E$127,IF(OR(Begegnungen!$E$117=C11,Begegnungen!$E$118=C11,Begegnungen!$E$119=C11,Begegnungen!$E$120=C11,Begegnungen!$E$121=C11,Begegnungen!$E$122=C11,Begegnungen!$E$123=C11),Begegnungen!$C$127,""))</f>
        <v>1</v>
      </c>
      <c r="S11" s="66" t="str">
        <f>IF(OR(Begegnungen!$I$117=C11,Begegnungen!$I$118=C11,Begegnungen!$I$119=C11,Begegnungen!$I$120=C11,Begegnungen!$I$121=C11,Begegnungen!$I$122=C11,Begegnungen!$I$123=C11),Begegnungen!$K$127,IF(OR(Begegnungen!$K$117=C11,Begegnungen!$K$118=C11,Begegnungen!$K$119=C11,Begegnungen!$K$120=C11,Begegnungen!$K$121=C11,Begegnungen!$K$122=C11,Begegnungen!$K$123=C11),Begegnungen!$I$127,""))</f>
        <v/>
      </c>
      <c r="T11" s="66" t="str">
        <f>IF(OR(Begegnungen!$C138=C11,Begegnungen!$C$134=C11,Begegnungen!$C$135=C11,Begegnungen!$C$136=C11,Begegnungen!$C$137=C11,Begegnungen!$C$138=C11,Begegnungen!$C$139=C11),Begegnungen!$E$143,IF(OR(Begegnungen!$E$133=C11,Begegnungen!$E$134=C11,Begegnungen!$E$135=C11,Begegnungen!$E$136=C11,Begegnungen!$E$137=C11,Begegnungen!$E$138=C11,Begegnungen!$E$139=C11),Begegnungen!$C$143,""))</f>
        <v/>
      </c>
      <c r="U11" s="66">
        <f>IF(OR(Begegnungen!$I138=C11,Begegnungen!$I$134=C11,Begegnungen!$I$135=C11,Begegnungen!$I$136=C11,Begegnungen!$I$137=C11,Begegnungen!$I$138=C11,Begegnungen!$I$139=C11),Begegnungen!$K$143,IF(OR(Begegnungen!$K$133=C11,Begegnungen!$K$134=C11,Begegnungen!$K$135=C11,Begegnungen!$K$136=C11,Begegnungen!$K$137=C11,Begegnungen!$K$138=C11,Begegnungen!$K$139=C11),Begegnungen!$I$143,""))</f>
        <v>2</v>
      </c>
      <c r="V11" s="66">
        <f>IF(OR(Begegnungen!$C154=C11,Begegnungen!$C$150=C11,Begegnungen!$C$151=C11,Begegnungen!$C$152=C11,Begegnungen!$C$153=C11,Begegnungen!$C$154=C11,Begegnungen!$C$155=C11),Begegnungen!$E$159,IF(OR(Begegnungen!$E$149=C11,Begegnungen!$E$150=C11,Begegnungen!$E$151=C11,Begegnungen!$E$152=C11,Begegnungen!$E$153=C11,Begegnungen!$E$154=C11,Begegnungen!$E$155=C11),Begegnungen!$C$159,""))</f>
        <v>0</v>
      </c>
      <c r="W11" s="66">
        <f>IF(OR(Begegnungen!$I154=C11,Begegnungen!$I$150=C11,Begegnungen!$I$151=C11,Begegnungen!$I$152=C11,Begegnungen!$I$153=C11,Begegnungen!$I$154=C11,Begegnungen!$I$155=C11),Begegnungen!$K$159,IF(OR(Begegnungen!$K$149=C11,Begegnungen!$K$150=C11,Begegnungen!$K$151=C11,Begegnungen!$K$152=C11,Begegnungen!$K$153=C11,Begegnungen!$K$154=C11,Begegnungen!$K$155=C11),Begegnungen!$I$159,""))</f>
        <v>10</v>
      </c>
      <c r="X11" s="66" t="str">
        <f>IF(OR(Begegnungen!$C170=C11,Begegnungen!$C$166=C11,Begegnungen!$C$167=C11,Begegnungen!$C$168=C11,Begegnungen!$C$169=C11,Begegnungen!$C$170=C11,Begegnungen!$C$171=C11),Begegnungen!$E$175,IF(OR(Begegnungen!$E$165=C11,Begegnungen!$E$166=C11,Begegnungen!$E$167=C11,Begegnungen!$E$168=C11,Begegnungen!$E$169=C11,Begegnungen!$E$170=C11,Begegnungen!$E$171=C11),Begegnungen!$C$175,""))</f>
        <v/>
      </c>
      <c r="Y11" s="66" t="str">
        <f>IF(OR(Begegnungen!$I170=C11,Begegnungen!$I$166=C11,Begegnungen!$I$167=C11,Begegnungen!$I$168=C11,Begegnungen!$I$169=C11,Begegnungen!$I$170=C11,Begegnungen!$I$171=C11),Begegnungen!$K$175,IF(OR(Begegnungen!$K$165=C11,Begegnungen!$K$166=C11,Begegnungen!$K$167=C11,Begegnungen!$K$168=C11,Begegnungen!$K$169=C11,Begegnungen!$K$170=C11,Begegnungen!$K$171=C11),Begegnungen!$I$175,""))</f>
        <v/>
      </c>
      <c r="Z11" s="66">
        <f>IF(OR(Begegnungen!$C186=C11,Begegnungen!$C$182=C11,Begegnungen!$C$183=C11,Begegnungen!$C$184=C11,Begegnungen!$C$185=C11,Begegnungen!$C$186=C11,Begegnungen!$C$187=C11),Begegnungen!$E$191,IF(OR(Begegnungen!$E$181=C11,Begegnungen!$E$182=C11,Begegnungen!$E$183=C11,Begegnungen!$E$184=C11,Begegnungen!$E$185=C11,Begegnungen!$E$186=C11,Begegnungen!$E$187=C11),Begegnungen!$C$191,""))</f>
        <v>3</v>
      </c>
      <c r="AA11" s="66">
        <f>IF(OR(Begegnungen!$I186=C11,Begegnungen!$I$182=C11,Begegnungen!$I$183=C11,Begegnungen!$I$184=C11,Begegnungen!$I$185=C11,Begegnungen!$I$186=C11,Begegnungen!$I$187=C11),Begegnungen!$K$191,IF(OR(Begegnungen!$K$181=C11,Begegnungen!$K$182=C11,Begegnungen!$K$183=C11,Begegnungen!$K$184=C11,Begegnungen!$K$185=C11,Begegnungen!$K$186=C11,Begegnungen!$K$187=C11),Begegnungen!$I$191,""))</f>
        <v>8</v>
      </c>
      <c r="AB11" s="66">
        <f>IF(OR(Begegnungen!$C202=C11,Begegnungen!$C$198=C11,Begegnungen!$C$199=C11,Begegnungen!$C$200=C11,Begegnungen!$C$201=C11,Begegnungen!$C$202=C11,Begegnungen!$C$203=C11),Begegnungen!$E$207,IF(OR(Begegnungen!$E$197=C11,Begegnungen!$E$198=C11,Begegnungen!$E$199=C11,Begegnungen!$E$200=C11,Begegnungen!$E$201=C11,Begegnungen!$E$202=C11,Begegnungen!$E$203=C11),Begegnungen!$C$207,""))</f>
        <v>3</v>
      </c>
      <c r="AC11" s="66">
        <f>IF(OR(Begegnungen!$I202=C11,Begegnungen!$I$198=C11,Begegnungen!$I$199=C11,Begegnungen!$I$200=C11,Begegnungen!$I$201=C11,Begegnungen!$I$202=C11,Begegnungen!$I$203=C11),Begegnungen!$K$207,IF(OR(Begegnungen!$K$197=C11,Begegnungen!$K$198=C11,Begegnungen!$K$199=C11,Begegnungen!$K$200=C11,Begegnungen!$K$201=C11,Begegnungen!$K$202=C11,Begegnungen!$K$203=C11),Begegnungen!$I$207,""))</f>
        <v>2</v>
      </c>
      <c r="AD11" s="66">
        <f>IF(OR(Begegnungen!$C218=C11,Begegnungen!$C$214=C11,Begegnungen!$C$215=C11,Begegnungen!$C$216=C11,Begegnungen!$C$217=C11,Begegnungen!$C$218=C11,Begegnungen!$C$219=C11),Begegnungen!$E$223,IF(OR(Begegnungen!$E$213=C11,Begegnungen!$E$214=C11,Begegnungen!$E$215=C11,Begegnungen!$E$216=C11,Begegnungen!$E$217=C11,Begegnungen!$E$218=C11,Begegnungen!$E$219=C11),Begegnungen!$C$223,""))</f>
        <v>5</v>
      </c>
      <c r="AE11" s="66">
        <f>IF(OR(Begegnungen!$I218=C11,Begegnungen!$I$214=C11,Begegnungen!$I$215=C11,Begegnungen!$I$216=C11,Begegnungen!$I$217=C11,Begegnungen!$I$218=C11,Begegnungen!$I$219=C11),Begegnungen!$K$223,IF(OR(Begegnungen!$K$213=C11,Begegnungen!$K$214=C11,Begegnungen!$K$215=C11,Begegnungen!$K$216=C11,Begegnungen!$K$217=C11,Begegnungen!$K$218=C11,Begegnungen!$K$219=C11),Begegnungen!$I$223,""))</f>
        <v>5</v>
      </c>
      <c r="AF11" s="136">
        <f>IF(OR(Begegnungen!$C234=C11,Begegnungen!$C$230=C11,Begegnungen!$C$231=C11,Begegnungen!$C$232=C11,Begegnungen!$C$233=C11,Begegnungen!$C$234=C11,Begegnungen!$C$235=C11),Begegnungen!$E$239,IF(OR(Begegnungen!$E$229=C11,Begegnungen!$E$230=C11,Begegnungen!$E$231=C11,Begegnungen!$E$232=C11,Begegnungen!$E$233=C11,Begegnungen!$E$234=C11,Begegnungen!$E$235=C11),Begegnungen!$C$239,""))</f>
        <v>4</v>
      </c>
      <c r="AG11" s="66">
        <f>IF(OR(Begegnungen!$I234=C11,Begegnungen!$I$230=C11,Begegnungen!$I$231=C11,Begegnungen!$I$232=C11,Begegnungen!$I$233=C11,Begegnungen!$I$234=C11,Begegnungen!$I$235=C11),Begegnungen!$K$239,IF(OR(Begegnungen!$K$229=C11,Begegnungen!$K$230=C11,Begegnungen!$K$231=C11,Begegnungen!$K$232=C11,Begegnungen!$K$233=C11,Begegnungen!$K$234=C11,Begegnungen!$K$235=C11),Begegnungen!$I$239,""))</f>
        <v>1</v>
      </c>
      <c r="AH11" s="66">
        <f>IF(OR(Begegnungen!$C250=C11,Begegnungen!$C$246=C11,Begegnungen!$C$247=C11,Begegnungen!$C$248=C11,Begegnungen!$C$249=C11,Begegnungen!$C$250=C11,Begegnungen!$C$251=C11),Begegnungen!$E$255,IF(OR(Begegnungen!$E$245=C11,Begegnungen!$E$246=C11,Begegnungen!$E$247=C11,Begegnungen!$E$248=C11,Begegnungen!$E$249=C11,Begegnungen!$E$250=C11,Begegnungen!$E$251=C11),Begegnungen!$C$255,""))</f>
        <v>4</v>
      </c>
      <c r="AI11" s="66">
        <f>IF(OR(Begegnungen!$I250=C11,Begegnungen!$I$246=C11,Begegnungen!$I$247=C11,Begegnungen!$I$248=C11,Begegnungen!$I$249=C11,Begegnungen!$I$250=C11,Begegnungen!$I$251=C11),Begegnungen!$K$255,IF(OR(Begegnungen!$K$245=C11,Begegnungen!$K$246=C11,Begegnungen!$K$247=C11,Begegnungen!$K$248=C11,Begegnungen!$K$249=C11,Begegnungen!$K$250=C11,Begegnungen!$K$251=C11),Begegnungen!$I$255,""))</f>
        <v>1</v>
      </c>
      <c r="AJ11" s="66">
        <f>IF(OR(Begegnungen!$C266=C11,Begegnungen!$C$262=C11,Begegnungen!$C$263=C11,Begegnungen!$C$264=C11,Begegnungen!$C$265=C11,Begegnungen!$C$266=C11,Begegnungen!$C$267=C11),Begegnungen!$E$271,IF(OR(Begegnungen!$E$261=C11,Begegnungen!$E$262=C11,Begegnungen!$E$263=C11,Begegnungen!$E$264=C11,Begegnungen!$E$265=C11,Begegnungen!$E$266=C11,Begegnungen!$E$267=C11),Begegnungen!$C$271,""))</f>
        <v>3</v>
      </c>
      <c r="AK11" s="66">
        <f>IF(OR(Begegnungen!$I266=C11,Begegnungen!$I$262=C11,Begegnungen!$I$263=C11,Begegnungen!$I$264=C11,Begegnungen!$I$265=C11,Begegnungen!$I$266=C11,Begegnungen!$I$267=C11),Begegnungen!$K$271,IF(OR(Begegnungen!$K$261=C11,Begegnungen!$K$262=C11,Begegnungen!$K$263=C11,Begegnungen!$K$264=C11,Begegnungen!$K$265=C11,Begegnungen!$K$266=C11,Begegnungen!$K$267=C11),Begegnungen!$I$271,""))</f>
        <v>1</v>
      </c>
      <c r="AL11" s="66">
        <f>IF(OR(Begegnungen!$C282=C11,Begegnungen!$C$278=C11,Begegnungen!$C$279=C11,Begegnungen!$C$280=C11,Begegnungen!$C$281=C11,Begegnungen!$C$282=C11,Begegnungen!$C$283=C11),Begegnungen!$E$287,IF(OR(Begegnungen!$E$277=C11,Begegnungen!$E$278=C11,Begegnungen!$E$279=C11,Begegnungen!$E$280=C11,Begegnungen!$E$281=C11,Begegnungen!$E$282=C11,Begegnungen!$E$283=C11),Begegnungen!$C$287,""))</f>
        <v>5</v>
      </c>
      <c r="AM11" s="136">
        <f>IF(OR(Begegnungen!$I282=C11,Begegnungen!$I$278=C11,Begegnungen!$I$279=C11,Begegnungen!$I$280=C11,Begegnungen!$I$281=C11,Begegnungen!$I$282=C11,Begegnungen!$I$283=C11),Begegnungen!$K$287,IF(OR(Begegnungen!$K$277=C11,Begegnungen!$K$278=C11,Begegnungen!$K$279=C11,Begegnungen!$K$280=C11,Begegnungen!$K$281=C11,Begegnungen!$K$282=C11,Begegnungen!$K$283=C11),Begegnungen!$I$287,""))</f>
        <v>3</v>
      </c>
      <c r="AN11" s="66" t="str">
        <f>IF(OR(Begegnungen!$C298=C11,Begegnungen!$C$294=C11,Begegnungen!$C$295=C11,Begegnungen!$C$296=C11,Begegnungen!$C$297=C11,Begegnungen!$C$298=C11,Begegnungen!$C$299=C11),Begegnungen!$E$303,IF(OR(Begegnungen!$E$293=C11,Begegnungen!$E$294=C11,Begegnungen!$E$295=C11,Begegnungen!$E$296=C11,Begegnungen!$E$297=C11,Begegnungen!$E$298=C11,Begegnungen!$E$299=C11),Begegnungen!$C$303,""))</f>
        <v/>
      </c>
      <c r="AO11" s="136" t="str">
        <f>IF(OR(Begegnungen!$I298=C11,Begegnungen!$I$294=C11,Begegnungen!$I$295=C11,Begegnungen!$I$296=C11,Begegnungen!$I$297=C11,Begegnungen!$I$298=C11,Begegnungen!$I$299=C11),Begegnungen!$K$303,IF(OR(Begegnungen!$K$293=C11,Begegnungen!$K$294=C11,Begegnungen!$K$295=C11,Begegnungen!$K$296=C11,Begegnungen!$K$297=C11,Begegnungen!$K$298=C11,Begegnungen!$K$299=C11),Begegnungen!$I$303,""))</f>
        <v/>
      </c>
      <c r="AP11" s="136" t="str">
        <f>IF(OR(Begegnungen!$C314=C11,Begegnungen!$C$310=C11,Begegnungen!$C$311=C11,Begegnungen!$C$312=C11,Begegnungen!$C$313=C11,Begegnungen!$C$314=C11,Begegnungen!$C$315=C11),Begegnungen!$E$319,IF(OR(Begegnungen!$E$309=C11,Begegnungen!$E$310=C11,Begegnungen!$E$311=C11,Begegnungen!$E$312=C11,Begegnungen!$E$313=C11,Begegnungen!$E$314=C11,Begegnungen!$E$315=C11),Begegnungen!$C$319,""))</f>
        <v/>
      </c>
      <c r="AQ11" s="66">
        <f>IF(OR(Begegnungen!$I314=C11,Begegnungen!$I$310=C11,Begegnungen!$I$311=C11,Begegnungen!$I$312=C11,Begegnungen!$I$313=C11,Begegnungen!$I$314=C11,Begegnungen!$I$315=C11),Begegnungen!$K$319,IF(OR(Begegnungen!$K$309=C11,Begegnungen!$K$310=C11,Begegnungen!$K$311=C11,Begegnungen!$K$312=C11,Begegnungen!$K$313=C11,Begegnungen!$K$314=C11,Begegnungen!$K$315=C11),Begegnungen!$I$319,""))</f>
        <v>4</v>
      </c>
      <c r="AR11" s="25">
        <f t="shared" si="0"/>
        <v>94</v>
      </c>
      <c r="AS11" s="139">
        <f>Spiele!AS11</f>
        <v>31</v>
      </c>
      <c r="AT11" s="140">
        <f t="shared" si="1"/>
        <v>3.032258064516129</v>
      </c>
    </row>
    <row r="12" spans="2:46" x14ac:dyDescent="0.25">
      <c r="B12" s="3">
        <v>7</v>
      </c>
      <c r="C12" s="65" t="s">
        <v>21</v>
      </c>
      <c r="D12" s="66">
        <f>IF(OR(Begegnungen!$C$3=C12,Begegnungen!$C$4=C12,Begegnungen!$C$5=C12,Begegnungen!$C$6=C12,Begegnungen!$C$7=C12,Begegnungen!$C$8=C12,Begegnungen!$C$9=C12),Begegnungen!$E$13,IF(OR(Begegnungen!$E$3=C12,Begegnungen!$E$4=C12,Begegnungen!$E$5=C12,Begegnungen!$E$6=C12,Begegnungen!$E$7=C12,Begegnungen!$E$8=C12,Begegnungen!$E$9=C12),Begegnungen!$C$13,""))</f>
        <v>2</v>
      </c>
      <c r="E12" s="66" t="str">
        <f>IF(OR(Begegnungen!$I$3=C12,Begegnungen!$I$4=C12,Begegnungen!$I$5=C12,Begegnungen!$I$6=C12,Begegnungen!$I$7=C12,Begegnungen!$I$8=C12,Begegnungen!$I$9=C12),Begegnungen!$K$13,IF(OR(Begegnungen!$K$3=C12,Begegnungen!$K$4=C12,Begegnungen!$K$5=C12,Begegnungen!$K$6=C12,Begegnungen!$K$7=C12,Begegnungen!$K$8=C12,Begegnungen!$K$9=C12),Begegnungen!$I$13,""))</f>
        <v/>
      </c>
      <c r="F12" s="66" t="str">
        <f>IF(OR(Begegnungen!$C$19=C12,Begegnungen!$C$20=C12,Begegnungen!$C$21=C12,Begegnungen!$C$22=C12,Begegnungen!$C$23=C12,Begegnungen!$C$24=C12,Begegnungen!$C$25=C12),Begegnungen!$E$29,IF(OR(Begegnungen!$E$19=C12,Begegnungen!$E$20=C12,Begegnungen!$E$21=C12,Begegnungen!$E$22=C12,Begegnungen!$E$23=C12,Begegnungen!$E$24=C12,Begegnungen!$E$25=C12),Begegnungen!$C$29,""))</f>
        <v/>
      </c>
      <c r="G12" s="66" t="str">
        <f>IF(OR(Begegnungen!$I$19=C12,Begegnungen!$I$20=C12,Begegnungen!$I$21=C12,Begegnungen!$I$22=C12,Begegnungen!$I$23=C12,Begegnungen!$I$24=C12,Begegnungen!$I$25=C12),Begegnungen!$K$29,IF(OR(Begegnungen!$K$19=C12,Begegnungen!$K$20=C12,Begegnungen!$K$21=C12,Begegnungen!$K$22=C12,Begegnungen!$K$23=C12,Begegnungen!$K$24=C12,Begegnungen!$K$25=C12),Begegnungen!$I$29,""))</f>
        <v/>
      </c>
      <c r="H12" s="66">
        <f>IF(OR(Begegnungen!$C$35=C12,Begegnungen!$C$36=C12,Begegnungen!$C$37=C12,Begegnungen!$C$38=C12,Begegnungen!$C$39=C12,Begegnungen!$C$40=C12,Begegnungen!$C$41=C12),Begegnungen!$E$46,IF(OR(Begegnungen!$E$35=C12,Begegnungen!$E$36=C12,Begegnungen!$E$37=C12,Begegnungen!$E$38=C12,Begegnungen!$E$39=C12,Begegnungen!$E$40=C12,Begegnungen!$E$41=C12),Begegnungen!$C$46,""))</f>
        <v>1</v>
      </c>
      <c r="I12" s="66">
        <f>IF(OR(Begegnungen!$I$35=C12,Begegnungen!$I$36=C12,Begegnungen!$I$37=C12,Begegnungen!$I$38=C12,Begegnungen!$I$39=C12,Begegnungen!$I$40=C12,Begegnungen!$I$41=C12),Begegnungen!$K$46,IF(OR(Begegnungen!$K$35=C12,Begegnungen!$K$36=C12,Begegnungen!$K$37=C12,Begegnungen!$K$38=C12,Begegnungen!$K$39=C12,Begegnungen!$K$40=C12,Begegnungen!$K$41=C12),Begegnungen!$I$46,""))</f>
        <v>3</v>
      </c>
      <c r="J12" s="136">
        <f>IF(OR(Begegnungen!$C$52=C12,Begegnungen!$C$53=C12,Begegnungen!$C$54=C12,Begegnungen!$C$55=C12,Begegnungen!$C$56=C12,Begegnungen!$C$57=C12,Begegnungen!$C$58=C12),Begegnungen!$E$62,IF(OR(Begegnungen!$E$52=C12,Begegnungen!$E$53=C12,Begegnungen!$E$54=C12,Begegnungen!$E$55=C12,Begegnungen!$E$56=C12,Begegnungen!$E$57=C12,Begegnungen!$E$58=C12),Begegnungen!$C$62,""))</f>
        <v>3</v>
      </c>
      <c r="K12" s="66">
        <f>IF(OR(Begegnungen!$I$52=C12,Begegnungen!$I$53=C12,Begegnungen!$I$54=C12,Begegnungen!$I$55=C12,Begegnungen!$I$56=C12,Begegnungen!$I$57=C12,Begegnungen!$I$58=C12),Begegnungen!$K$62,IF(OR(Begegnungen!$K$52=C12,Begegnungen!$K$53=C12,Begegnungen!$K$54=C12,Begegnungen!$K$55=C12,Begegnungen!$K$56=C12,Begegnungen!$K$57=C12,Begegnungen!$K$58=C12),Begegnungen!$I$62,""))</f>
        <v>1</v>
      </c>
      <c r="L12" s="136">
        <f>IF(OR(Begegnungen!$C74=C12,Begegnungen!$C$69=C12,Begegnungen!$C$70=C12,Begegnungen!$C$71=C12,Begegnungen!$C$72=C12,Begegnungen!$C$73=C12,Begegnungen!$C$74=C12),Begegnungen!$E$78,IF(OR(Begegnungen!$E$68=C12,Begegnungen!$E$69=C12,Begegnungen!$E$70=C12,Begegnungen!$E$71=C12,Begegnungen!$E$72=C12,Begegnungen!$E$73=C12,Begegnungen!$E$74=C12),Begegnungen!$C$78,""))</f>
        <v>3</v>
      </c>
      <c r="M12" s="66" t="str">
        <f>IF(OR(Begegnungen!$I74=C12,Begegnungen!$I$69=C12,Begegnungen!$I$70=C12,Begegnungen!$I$71=C12,Begegnungen!$I$72=C12,Begegnungen!$I$73=C12,Begegnungen!$I$74=C12),Begegnungen!$K$78,IF(OR(Begegnungen!$K$68=C12,Begegnungen!$K$69=C12,Begegnungen!$K$70=C12,Begegnungen!$K$71=C12,Begegnungen!$K$72=C12,Begegnungen!$K$73=C12,Begegnungen!$K$74=C12),Begegnungen!$I$78,""))</f>
        <v/>
      </c>
      <c r="N12" s="66">
        <f>IF(OR(Begegnungen!$C90=C12,Begegnungen!$C$85=C12,Begegnungen!$C$86=C12,Begegnungen!$C$87=C12,Begegnungen!$C$88=C12,Begegnungen!$C$89=C12,Begegnungen!$C$90=C12),Begegnungen!$E$95,IF(OR(Begegnungen!$E$84=C12,Begegnungen!$E$85=C12,Begegnungen!$E$86=C12,Begegnungen!$E$87=C12,Begegnungen!$E$88=C12,Begegnungen!$E$89=C12,Begegnungen!$E$90=C12),Begegnungen!$C$95,""))</f>
        <v>1</v>
      </c>
      <c r="O12" s="66">
        <f>IF(OR(Begegnungen!$I90=C12,Begegnungen!$I$85=C12,Begegnungen!$I$86=C12,Begegnungen!$I$87=C12,Begegnungen!$I$88=C12,Begegnungen!$I$89=C12,Begegnungen!$I$90=C12),Begegnungen!$K$95,IF(OR(Begegnungen!$K$84=C12,Begegnungen!$K$85=C12,Begegnungen!$K$86=C12,Begegnungen!$K$87=C12,Begegnungen!$K$88=C12,Begegnungen!$K$89=C12,Begegnungen!$K$90=C12),Begegnungen!$I$95,""))</f>
        <v>2</v>
      </c>
      <c r="P12" s="66">
        <f>IF(OR(Begegnungen!$C107=C12,Begegnungen!$C$102=C12,Begegnungen!$C$103=C12,Begegnungen!$C$104=C12,Begegnungen!$C$105=C12,Begegnungen!$C$106=C12,Begegnungen!$C$107=C12),Begegnungen!$E$111,IF(OR(Begegnungen!$E$101=C12,Begegnungen!$E$102=C12,Begegnungen!$E$103=C12,Begegnungen!$E$104=C12,Begegnungen!$E$105=C12,Begegnungen!$E$106=C12,Begegnungen!$E$107=C12),Begegnungen!$C$111,""))</f>
        <v>3</v>
      </c>
      <c r="Q12" s="66">
        <f>IF(OR(Begegnungen!$I107=C12,Begegnungen!$I$102=C12,Begegnungen!$I$103=C12,Begegnungen!$I$104=C12,Begegnungen!$I$105=C12,Begegnungen!$I$106=C12,Begegnungen!$I$107=C12),Begegnungen!$K$111,IF(OR(Begegnungen!$K$101=C12,Begegnungen!$K$102=C12,Begegnungen!$K$103=C12,Begegnungen!$K$104=C12,Begegnungen!$K$105=C12,Begegnungen!$K$106=C12,Begegnungen!$K$107=C12),Begegnungen!$I$111,""))</f>
        <v>0</v>
      </c>
      <c r="R12" s="136">
        <f>IF(OR(Begegnungen!$C123=C12,Begegnungen!$C$118=C12,Begegnungen!$C$119=C12,Begegnungen!$C$120=C12,Begegnungen!$C$121=C12,Begegnungen!$C$122=C12,Begegnungen!$C$123=C12),Begegnungen!$E$127,IF(OR(Begegnungen!$E$117=C12,Begegnungen!$E$118=C12,Begegnungen!$E$119=C12,Begegnungen!$E$120=C12,Begegnungen!$E$121=C12,Begegnungen!$E$122=C12,Begegnungen!$E$123=C12),Begegnungen!$C$127,""))</f>
        <v>4</v>
      </c>
      <c r="S12" s="66" t="str">
        <f>IF(OR(Begegnungen!$I$117=C12,Begegnungen!$I$118=C12,Begegnungen!$I$119=C12,Begegnungen!$I$120=C12,Begegnungen!$I$121=C12,Begegnungen!$I$122=C12,Begegnungen!$I$123=C12),Begegnungen!$K$127,IF(OR(Begegnungen!$K$117=C12,Begegnungen!$K$118=C12,Begegnungen!$K$119=C12,Begegnungen!$K$120=C12,Begegnungen!$K$121=C12,Begegnungen!$K$122=C12,Begegnungen!$K$123=C12),Begegnungen!$I$127,""))</f>
        <v/>
      </c>
      <c r="T12" s="66">
        <f>IF(OR(Begegnungen!$C139=C12,Begegnungen!$C$134=C12,Begegnungen!$C$135=C12,Begegnungen!$C$136=C12,Begegnungen!$C$137=C12,Begegnungen!$C$138=C12,Begegnungen!$C$139=C12),Begegnungen!$E$143,IF(OR(Begegnungen!$E$133=C12,Begegnungen!$E$134=C12,Begegnungen!$E$135=C12,Begegnungen!$E$136=C12,Begegnungen!$E$137=C12,Begegnungen!$E$138=C12,Begegnungen!$E$139=C12),Begegnungen!$C$143,""))</f>
        <v>6</v>
      </c>
      <c r="U12" s="66" t="str">
        <f>IF(OR(Begegnungen!$I139=C12,Begegnungen!$I$134=C12,Begegnungen!$I$135=C12,Begegnungen!$I$136=C12,Begegnungen!$I$137=C12,Begegnungen!$I$138=C12,Begegnungen!$I$139=C12),Begegnungen!$K$143,IF(OR(Begegnungen!$K$133=C12,Begegnungen!$K$134=C12,Begegnungen!$K$135=C12,Begegnungen!$K$136=C12,Begegnungen!$K$137=C12,Begegnungen!$K$138=C12,Begegnungen!$K$139=C12),Begegnungen!$I$143,""))</f>
        <v/>
      </c>
      <c r="V12" s="66" t="str">
        <f>IF(OR(Begegnungen!$C155=C12,Begegnungen!$C$150=C12,Begegnungen!$C$151=C12,Begegnungen!$C$152=C12,Begegnungen!$C$153=C12,Begegnungen!$C$154=C12,Begegnungen!$C$155=C12),Begegnungen!$E$159,IF(OR(Begegnungen!$E$149=C12,Begegnungen!$E$150=C12,Begegnungen!$E$151=C12,Begegnungen!$E$152=C12,Begegnungen!$E$153=C12,Begegnungen!$E$154=C12,Begegnungen!$E$155=C12),Begegnungen!$C$159,""))</f>
        <v/>
      </c>
      <c r="W12" s="66">
        <f>IF(OR(Begegnungen!$I155=C12,Begegnungen!$I$150=C12,Begegnungen!$I$151=C12,Begegnungen!$I$152=C12,Begegnungen!$I$153=C12,Begegnungen!$I$154=C12,Begegnungen!$I$155=C12),Begegnungen!$K$159,IF(OR(Begegnungen!$K$149=C12,Begegnungen!$K$150=C12,Begegnungen!$K$151=C12,Begegnungen!$K$152=C12,Begegnungen!$K$153=C12,Begegnungen!$K$154=C12,Begegnungen!$K$155=C12),Begegnungen!$I$159,""))</f>
        <v>10</v>
      </c>
      <c r="X12" s="66">
        <f>IF(OR(Begegnungen!$C171=C12,Begegnungen!$C$166=C12,Begegnungen!$C$167=C12,Begegnungen!$C$168=C12,Begegnungen!$C$169=C12,Begegnungen!$C$170=C12,Begegnungen!$C$171=C12),Begegnungen!$E$175,IF(OR(Begegnungen!$E$165=C12,Begegnungen!$E$166=C12,Begegnungen!$E$167=C12,Begegnungen!$E$168=C12,Begegnungen!$E$169=C12,Begegnungen!$E$170=C12,Begegnungen!$E$171=C12),Begegnungen!$C$175,""))</f>
        <v>7</v>
      </c>
      <c r="Y12" s="66">
        <f>IF(OR(Begegnungen!$I171=C12,Begegnungen!$I$166=C12,Begegnungen!$I$167=C12,Begegnungen!$I$168=C12,Begegnungen!$I$169=C12,Begegnungen!$I$170=C12,Begegnungen!$I$171=C12),Begegnungen!$K$175,IF(OR(Begegnungen!$K$165=C12,Begegnungen!$K$166=C12,Begegnungen!$K$167=C12,Begegnungen!$K$168=C12,Begegnungen!$K$169=C12,Begegnungen!$K$170=C12,Begegnungen!$K$171=C12),Begegnungen!$I$175,""))</f>
        <v>4</v>
      </c>
      <c r="Z12" s="66">
        <f>IF(OR(Begegnungen!$C187=C12,Begegnungen!$C$182=C12,Begegnungen!$C$183=C12,Begegnungen!$C$184=C12,Begegnungen!$C$185=C12,Begegnungen!$C$186=C12,Begegnungen!$C$187=C12),Begegnungen!$E$191,IF(OR(Begegnungen!$E$181=C12,Begegnungen!$E$182=C12,Begegnungen!$E$183=C12,Begegnungen!$E$184=C12,Begegnungen!$E$185=C12,Begegnungen!$E$186=C12,Begegnungen!$E$187=C12),Begegnungen!$C$191,""))</f>
        <v>3</v>
      </c>
      <c r="AA12" s="66">
        <f>IF(OR(Begegnungen!$I187=C12,Begegnungen!$I$182=C12,Begegnungen!$I$183=C12,Begegnungen!$I$184=C12,Begegnungen!$I$185=C12,Begegnungen!$I$186=C12,Begegnungen!$I$187=C12),Begegnungen!$K$191,IF(OR(Begegnungen!$K$181=C12,Begegnungen!$K$182=C12,Begegnungen!$K$183=C12,Begegnungen!$K$184=C12,Begegnungen!$K$185=C12,Begegnungen!$K$186=C12,Begegnungen!$K$187=C12),Begegnungen!$I$191,""))</f>
        <v>2</v>
      </c>
      <c r="AB12" s="66">
        <f>IF(OR(Begegnungen!$C203=C12,Begegnungen!$C$198=C12,Begegnungen!$C$199=C12,Begegnungen!$C$200=C12,Begegnungen!$C$201=C12,Begegnungen!$C$202=C12,Begegnungen!$C$203=C12),Begegnungen!$E$207,IF(OR(Begegnungen!$E$197=C12,Begegnungen!$E$198=C12,Begegnungen!$E$199=C12,Begegnungen!$E$200=C12,Begegnungen!$E$201=C12,Begegnungen!$E$202=C12,Begegnungen!$E$203=C12),Begegnungen!$C$207,""))</f>
        <v>3</v>
      </c>
      <c r="AC12" s="66">
        <f>IF(OR(Begegnungen!$I203=C12,Begegnungen!$I$198=C12,Begegnungen!$I$199=C12,Begegnungen!$I$200=C12,Begegnungen!$I$201=C12,Begegnungen!$I$202=C12,Begegnungen!$I$203=C12),Begegnungen!$K$207,IF(OR(Begegnungen!$K$197=C12,Begegnungen!$K$198=C12,Begegnungen!$K$199=C12,Begegnungen!$K$200=C12,Begegnungen!$K$201=C12,Begegnungen!$K$202=C12,Begegnungen!$K$203=C12),Begegnungen!$I$207,""))</f>
        <v>2</v>
      </c>
      <c r="AD12" s="66">
        <f>IF(OR(Begegnungen!$C219=C12,Begegnungen!$C$214=C12,Begegnungen!$C$215=C12,Begegnungen!$C$216=C12,Begegnungen!$C$217=C12,Begegnungen!$C$218=C12,Begegnungen!$C$219=C12),Begegnungen!$E$223,IF(OR(Begegnungen!$E$213=C12,Begegnungen!$E$214=C12,Begegnungen!$E$215=C12,Begegnungen!$E$216=C12,Begegnungen!$E$217=C12,Begegnungen!$E$218=C12,Begegnungen!$E$219=C12),Begegnungen!$C$223,""))</f>
        <v>3</v>
      </c>
      <c r="AE12" s="66">
        <f>IF(OR(Begegnungen!$I219=C12,Begegnungen!$I$214=C12,Begegnungen!$I$215=C12,Begegnungen!$I$216=C12,Begegnungen!$I$217=C12,Begegnungen!$I$218=C12,Begegnungen!$I$219=C12),Begegnungen!$K$223,IF(OR(Begegnungen!$K$213=C12,Begegnungen!$K$214=C12,Begegnungen!$K$215=C12,Begegnungen!$K$216=C12,Begegnungen!$K$217=C12,Begegnungen!$K$218=C12,Begegnungen!$K$219=C12),Begegnungen!$I$223,""))</f>
        <v>5</v>
      </c>
      <c r="AF12" s="136">
        <f>IF(OR(Begegnungen!$C235=C12,Begegnungen!$C$230=C12,Begegnungen!$C$231=C12,Begegnungen!$C$232=C12,Begegnungen!$C$233=C12,Begegnungen!$C$234=C12,Begegnungen!$C$235=C12),Begegnungen!$E$239,IF(OR(Begegnungen!$E$229=C12,Begegnungen!$E$230=C12,Begegnungen!$E$231=C12,Begegnungen!$E$232=C12,Begegnungen!$E$233=C12,Begegnungen!$E$234=C12,Begegnungen!$E$235=C12),Begegnungen!$C$239,""))</f>
        <v>4</v>
      </c>
      <c r="AG12" s="66">
        <f>IF(OR(Begegnungen!$I235=C12,Begegnungen!$I$230=C12,Begegnungen!$I$231=C12,Begegnungen!$I$232=C12,Begegnungen!$I$233=C12,Begegnungen!$I$234=C12,Begegnungen!$I$235=C12),Begegnungen!$K$239,IF(OR(Begegnungen!$K$229=C12,Begegnungen!$K$230=C12,Begegnungen!$K$231=C12,Begegnungen!$K$232=C12,Begegnungen!$K$233=C12,Begegnungen!$K$234=C12,Begegnungen!$K$235=C12),Begegnungen!$I$239,""))</f>
        <v>5</v>
      </c>
      <c r="AH12" s="66">
        <f>IF(OR(Begegnungen!$C251=C12,Begegnungen!$C$246=C12,Begegnungen!$C$247=C12,Begegnungen!$C$248=C12,Begegnungen!$C$249=C12,Begegnungen!$C$250=C12,Begegnungen!$C$251=C12),Begegnungen!$E$255,IF(OR(Begegnungen!$E$245=C12,Begegnungen!$E$246=C12,Begegnungen!$E$247=C12,Begegnungen!$E$248=C12,Begegnungen!$E$249=C12,Begegnungen!$E$250=C12,Begegnungen!$E$251=C12),Begegnungen!$C$255,""))</f>
        <v>2</v>
      </c>
      <c r="AI12" s="66">
        <f>IF(OR(Begegnungen!$I251=C12,Begegnungen!$I$246=C12,Begegnungen!$I$247=C12,Begegnungen!$I$248=C12,Begegnungen!$I$249=C12,Begegnungen!$I$250=C12,Begegnungen!$I$251=C12),Begegnungen!$K$255,IF(OR(Begegnungen!$K$245=C12,Begegnungen!$K$246=C12,Begegnungen!$K$247=C12,Begegnungen!$K$248=C12,Begegnungen!$K$249=C12,Begegnungen!$K$250=C12,Begegnungen!$K$251=C12),Begegnungen!$I$255,""))</f>
        <v>2</v>
      </c>
      <c r="AJ12" s="66">
        <f>IF(OR(Begegnungen!$C267=C12,Begegnungen!$C$262=C12,Begegnungen!$C$263=C12,Begegnungen!$C$264=C12,Begegnungen!$C$265=C12,Begegnungen!$C$266=C12,Begegnungen!$C$267=C12),Begegnungen!$E$271,IF(OR(Begegnungen!$E$261=C12,Begegnungen!$E$262=C12,Begegnungen!$E$263=C12,Begegnungen!$E$264=C12,Begegnungen!$E$265=C12,Begegnungen!$E$266=C12,Begegnungen!$E$267=C12),Begegnungen!$C$271,""))</f>
        <v>3</v>
      </c>
      <c r="AK12" s="66">
        <f>IF(OR(Begegnungen!$I267=C12,Begegnungen!$I$262=C12,Begegnungen!$I$263=C12,Begegnungen!$I$264=C12,Begegnungen!$I$265=C12,Begegnungen!$I$266=C12,Begegnungen!$I$267=C12),Begegnungen!$K$271,IF(OR(Begegnungen!$K$261=C12,Begegnungen!$K$262=C12,Begegnungen!$K$263=C12,Begegnungen!$K$264=C12,Begegnungen!$K$265=C12,Begegnungen!$K$266=C12,Begegnungen!$K$267=C12),Begegnungen!$I$271,""))</f>
        <v>1</v>
      </c>
      <c r="AL12" s="66">
        <f>IF(OR(Begegnungen!$C283=C12,Begegnungen!$C$278=C12,Begegnungen!$C$279=C12,Begegnungen!$C$280=C12,Begegnungen!$C$281=C12,Begegnungen!$C$282=C12,Begegnungen!$C$283=C12),Begegnungen!$E$287,IF(OR(Begegnungen!$E$277=C12,Begegnungen!$E$278=C12,Begegnungen!$E$279=C12,Begegnungen!$E$280=C12,Begegnungen!$E$281=C12,Begegnungen!$E$282=C12,Begegnungen!$E$283=C12),Begegnungen!$C$287,""))</f>
        <v>3</v>
      </c>
      <c r="AM12" s="136">
        <f>IF(OR(Begegnungen!$I283=C12,Begegnungen!$I$278=C12,Begegnungen!$I$279=C12,Begegnungen!$I$280=C12,Begegnungen!$I$281=C12,Begegnungen!$I$282=C12,Begegnungen!$I$283=C12),Begegnungen!$K$287,IF(OR(Begegnungen!$K$277=C12,Begegnungen!$K$278=C12,Begegnungen!$K$279=C12,Begegnungen!$K$280=C12,Begegnungen!$K$281=C12,Begegnungen!$K$282=C12,Begegnungen!$K$283=C12),Begegnungen!$I$287,""))</f>
        <v>2</v>
      </c>
      <c r="AN12" s="66">
        <f>IF(OR(Begegnungen!$C299=C12,Begegnungen!$C$294=C12,Begegnungen!$C$295=C12,Begegnungen!$C$296=C12,Begegnungen!$C$297=C12,Begegnungen!$C$298=C12,Begegnungen!$C$299=C12),Begegnungen!$E$303,IF(OR(Begegnungen!$E$293=C12,Begegnungen!$E$294=C12,Begegnungen!$E$295=C12,Begegnungen!$E$296=C12,Begegnungen!$E$297=C12,Begegnungen!$E$298=C12,Begegnungen!$E$299=C12),Begegnungen!$C$303,""))</f>
        <v>0</v>
      </c>
      <c r="AO12" s="136">
        <f>IF(OR(Begegnungen!$I299=C12,Begegnungen!$I$294=C12,Begegnungen!$I$295=C12,Begegnungen!$I$296=C12,Begegnungen!$I$297=C12,Begegnungen!$I$298=C12,Begegnungen!$I$299=C12),Begegnungen!$K$303,IF(OR(Begegnungen!$K$293=C12,Begegnungen!$K$294=C12,Begegnungen!$K$295=C12,Begegnungen!$K$296=C12,Begegnungen!$K$297=C12,Begegnungen!$K$298=C12,Begegnungen!$K$299=C12),Begegnungen!$I$303,""))</f>
        <v>0</v>
      </c>
      <c r="AP12" s="136">
        <f>IF(OR(Begegnungen!$C315=C12,Begegnungen!$C$310=C12,Begegnungen!$C$311=C12,Begegnungen!$C$312=C12,Begegnungen!$C$313=C12,Begegnungen!$C$314=C12,Begegnungen!$C$315=C12),Begegnungen!$E$319,IF(OR(Begegnungen!$E$309=C12,Begegnungen!$E$310=C12,Begegnungen!$E$311=C12,Begegnungen!$E$312=C12,Begegnungen!$E$313=C12,Begegnungen!$E$314=C12,Begegnungen!$E$315=C12),Begegnungen!$C$319,""))</f>
        <v>2</v>
      </c>
      <c r="AQ12" s="66">
        <f>IF(OR(Begegnungen!$I315=C12,Begegnungen!$I$310=C12,Begegnungen!$I$311=C12,Begegnungen!$I$312=C12,Begegnungen!$I$313=C12,Begegnungen!$I$314=C12,Begegnungen!$I$315=C12),Begegnungen!$K$319,IF(OR(Begegnungen!$K$309=C12,Begegnungen!$K$310=C12,Begegnungen!$K$311=C12,Begegnungen!$K$312=C12,Begegnungen!$K$313=C12,Begegnungen!$K$314=C12,Begegnungen!$K$315=C12),Begegnungen!$I$319,""))</f>
        <v>4</v>
      </c>
      <c r="AR12" s="25">
        <f t="shared" si="0"/>
        <v>96</v>
      </c>
      <c r="AS12" s="139">
        <f>Spiele!AS12</f>
        <v>33</v>
      </c>
      <c r="AT12" s="140">
        <f t="shared" si="1"/>
        <v>2.9090909090909092</v>
      </c>
    </row>
    <row r="13" spans="2:46" x14ac:dyDescent="0.25">
      <c r="B13" s="3">
        <v>8</v>
      </c>
      <c r="C13" s="65" t="s">
        <v>26</v>
      </c>
      <c r="D13" s="66" t="str">
        <f>IF(OR(Begegnungen!$C$3=C13,Begegnungen!$C$4=C13,Begegnungen!$C$5=C13,Begegnungen!$C$6=C13,Begegnungen!$C$7=C13,Begegnungen!$C$8=C13,Begegnungen!$C$9=C13),Begegnungen!$E$13,IF(OR(Begegnungen!$E$3=C13,Begegnungen!$E$4=C13,Begegnungen!$E$5=C13,Begegnungen!$E$6=C13,Begegnungen!$E$7=C13,Begegnungen!$E$8=C13,Begegnungen!$E$9=C13),Begegnungen!$C$13,""))</f>
        <v/>
      </c>
      <c r="E13" s="66" t="str">
        <f>IF(OR(Begegnungen!$I$3=C13,Begegnungen!$I$4=C13,Begegnungen!$I$5=C13,Begegnungen!$I$6=C13,Begegnungen!$I$7=C13,Begegnungen!$I$8=C13,Begegnungen!$I$9=C13),Begegnungen!$K$13,IF(OR(Begegnungen!$K$3=C13,Begegnungen!$K$4=C13,Begegnungen!$K$5=C13,Begegnungen!$K$6=C13,Begegnungen!$K$7=C13,Begegnungen!$K$8=C13,Begegnungen!$K$9=C13),Begegnungen!$I$13,""))</f>
        <v/>
      </c>
      <c r="F13" s="66" t="str">
        <f>IF(OR(Begegnungen!$C$19=C13,Begegnungen!$C$20=C13,Begegnungen!$C$21=C13,Begegnungen!$C$22=C13,Begegnungen!$C$23=C13,Begegnungen!$C$24=C13,Begegnungen!$C$25=C13),Begegnungen!$E$29,IF(OR(Begegnungen!$E$19=C13,Begegnungen!$E$20=C13,Begegnungen!$E$21=C13,Begegnungen!$E$22=C13,Begegnungen!$E$23=C13,Begegnungen!$E$24=C13,Begegnungen!$E$25=C13),Begegnungen!$C$29,""))</f>
        <v/>
      </c>
      <c r="G13" s="66" t="str">
        <f>IF(OR(Begegnungen!$I$19=C13,Begegnungen!$I$20=C13,Begegnungen!$I$21=C13,Begegnungen!$I$22=C13,Begegnungen!$I$23=C13,Begegnungen!$I$24=C13,Begegnungen!$I$25=C13),Begegnungen!$K$29,IF(OR(Begegnungen!$K$19=C13,Begegnungen!$K$20=C13,Begegnungen!$K$21=C13,Begegnungen!$K$22=C13,Begegnungen!$K$23=C13,Begegnungen!$K$24=C13,Begegnungen!$K$25=C13),Begegnungen!$I$29,""))</f>
        <v/>
      </c>
      <c r="H13" s="66" t="str">
        <f>IF(OR(Begegnungen!$C$35=C13,Begegnungen!$C$36=C13,Begegnungen!$C$37=C13,Begegnungen!$C$38=C13,Begegnungen!$C$39=C13,Begegnungen!$C$40=C13,Begegnungen!$C$41=C13),Begegnungen!$E$46,IF(OR(Begegnungen!$E$35=C13,Begegnungen!$E$36=C13,Begegnungen!$E$37=C13,Begegnungen!$E$38=C13,Begegnungen!$E$39=C13,Begegnungen!$E$40=C13,Begegnungen!$E$41=C13),Begegnungen!$C$46,""))</f>
        <v/>
      </c>
      <c r="I13" s="66" t="str">
        <f>IF(OR(Begegnungen!$I$35=C13,Begegnungen!$I$36=C13,Begegnungen!$I$37=C13,Begegnungen!$I$38=C13,Begegnungen!$I$39=C13,Begegnungen!$I$40=C13,Begegnungen!$I$41=C13),Begegnungen!$K$46,IF(OR(Begegnungen!$K$35=C13,Begegnungen!$K$36=C13,Begegnungen!$K$37=C13,Begegnungen!$K$38=C13,Begegnungen!$K$39=C13,Begegnungen!$K$40=C13,Begegnungen!$K$41=C13),Begegnungen!$I$46,""))</f>
        <v/>
      </c>
      <c r="J13" s="136" t="str">
        <f>IF(OR(Begegnungen!$C$52=C13,Begegnungen!$C$53=C13,Begegnungen!$C$54=C13,Begegnungen!$C$55=C13,Begegnungen!$C$56=C13,Begegnungen!$C$57=C13,Begegnungen!$C$58=C13),Begegnungen!$E$62,IF(OR(Begegnungen!$E$52=C13,Begegnungen!$E$53=C13,Begegnungen!$E$54=C13,Begegnungen!$E$55=C13,Begegnungen!$E$56=C13,Begegnungen!$E$57=C13,Begegnungen!$E$58=C13),Begegnungen!$C$62,""))</f>
        <v/>
      </c>
      <c r="K13" s="66" t="str">
        <f>IF(OR(Begegnungen!$I$52=C13,Begegnungen!$I$53=C13,Begegnungen!$I$54=C13,Begegnungen!$I$55=C13,Begegnungen!$I$56=C13,Begegnungen!$I$57=C13,Begegnungen!$I$58=C13),Begegnungen!$K$62,IF(OR(Begegnungen!$K$52=C13,Begegnungen!$K$53=C13,Begegnungen!$K$54=C13,Begegnungen!$K$55=C13,Begegnungen!$K$56=C13,Begegnungen!$K$57=C13,Begegnungen!$K$58=C13),Begegnungen!$I$62,""))</f>
        <v/>
      </c>
      <c r="L13" s="136" t="str">
        <f>IF(OR(Begegnungen!$C75=C13,Begegnungen!$C$69=C13,Begegnungen!$C$70=C13,Begegnungen!$C$71=C13,Begegnungen!$C$72=C13,Begegnungen!$C$73=C13,Begegnungen!$C$74=C13),Begegnungen!$E$78,IF(OR(Begegnungen!$E$68=C13,Begegnungen!$E$69=C13,Begegnungen!$E$70=C13,Begegnungen!$E$71=C13,Begegnungen!$E$72=C13,Begegnungen!$E$73=C13,Begegnungen!$E$74=C13),Begegnungen!$C$78,""))</f>
        <v/>
      </c>
      <c r="M13" s="66" t="str">
        <f>IF(OR(Begegnungen!$I75=C13,Begegnungen!$I$69=C13,Begegnungen!$I$70=C13,Begegnungen!$I$71=C13,Begegnungen!$I$72=C13,Begegnungen!$I$73=C13,Begegnungen!$I$74=C13),Begegnungen!$K$78,IF(OR(Begegnungen!$K$68=C13,Begegnungen!$K$69=C13,Begegnungen!$K$70=C13,Begegnungen!$K$71=C13,Begegnungen!$K$72=C13,Begegnungen!$K$73=C13,Begegnungen!$K$74=C13),Begegnungen!$I$78,""))</f>
        <v/>
      </c>
      <c r="N13" s="66" t="str">
        <f>IF(OR(Begegnungen!$C92=C13,Begegnungen!$C$85=C13,Begegnungen!$C$86=C13,Begegnungen!$C$87=C13,Begegnungen!$C$88=C13,Begegnungen!$C$89=C13,Begegnungen!$C$90=C13),Begegnungen!$E$95,IF(OR(Begegnungen!$E$84=C13,Begegnungen!$E$85=C13,Begegnungen!$E$86=C13,Begegnungen!$E$87=C13,Begegnungen!$E$88=C13,Begegnungen!$E$89=C13,Begegnungen!$E$90=C13),Begegnungen!$C$95,""))</f>
        <v/>
      </c>
      <c r="O13" s="66" t="str">
        <f>IF(OR(Begegnungen!$I92=C13,Begegnungen!$I$85=C13,Begegnungen!$I$86=C13,Begegnungen!$I$87=C13,Begegnungen!$I$88=C13,Begegnungen!$I$89=C13,Begegnungen!$I$90=C13),Begegnungen!$K$95,IF(OR(Begegnungen!$K$84=C13,Begegnungen!$K$85=C13,Begegnungen!$K$86=C13,Begegnungen!$K$87=C13,Begegnungen!$K$88=C13,Begegnungen!$K$89=C13,Begegnungen!$K$90=C13),Begegnungen!$I$95,""))</f>
        <v/>
      </c>
      <c r="P13" s="66" t="str">
        <f>IF(OR(Begegnungen!$C108=C13,Begegnungen!$C$102=C13,Begegnungen!$C$103=C13,Begegnungen!$C$104=C13,Begegnungen!$C$105=C13,Begegnungen!$C$106=C13,Begegnungen!$C$107=C13),Begegnungen!$E$111,IF(OR(Begegnungen!$E$101=C13,Begegnungen!$E$102=C13,Begegnungen!$E$103=C13,Begegnungen!$E$104=C13,Begegnungen!$E$105=C13,Begegnungen!$E$106=C13,Begegnungen!$E$107=C13),Begegnungen!$C$111,""))</f>
        <v/>
      </c>
      <c r="Q13" s="66" t="str">
        <f>IF(OR(Begegnungen!$I108=C13,Begegnungen!$I$102=C13,Begegnungen!$I$103=C13,Begegnungen!$I$104=C13,Begegnungen!$I$105=C13,Begegnungen!$I$106=C13,Begegnungen!$I$107=C13),Begegnungen!$K$111,IF(OR(Begegnungen!$K$101=C13,Begegnungen!$K$102=C13,Begegnungen!$K$103=C13,Begegnungen!$K$104=C13,Begegnungen!$K$105=C13,Begegnungen!$K$106=C13,Begegnungen!$K$107=C13),Begegnungen!$I$111,""))</f>
        <v/>
      </c>
      <c r="R13" s="136" t="str">
        <f>IF(OR(Begegnungen!$C124=C13,Begegnungen!$C$118=C13,Begegnungen!$C$119=C13,Begegnungen!$C$120=C13,Begegnungen!$C$121=C13,Begegnungen!$C$122=C13,Begegnungen!$C$123=C13),Begegnungen!$E$127,IF(OR(Begegnungen!$E$117=C13,Begegnungen!$E$118=C13,Begegnungen!$E$119=C13,Begegnungen!$E$120=C13,Begegnungen!$E$121=C13,Begegnungen!$E$122=C13,Begegnungen!$E$123=C13),Begegnungen!$C$127,""))</f>
        <v/>
      </c>
      <c r="S13" s="66" t="str">
        <f>IF(OR(Begegnungen!$I$117=C13,Begegnungen!$I$118=C13,Begegnungen!$I$119=C13,Begegnungen!$I$120=C13,Begegnungen!$I$121=C13,Begegnungen!$I$122=C13,Begegnungen!$I$123=C13),Begegnungen!$K$127,IF(OR(Begegnungen!$K$117=C13,Begegnungen!$K$118=C13,Begegnungen!$K$119=C13,Begegnungen!$K$120=C13,Begegnungen!$K$121=C13,Begegnungen!$K$122=C13,Begegnungen!$K$123=C13),Begegnungen!$I$127,""))</f>
        <v/>
      </c>
      <c r="T13" s="66" t="str">
        <f>IF(OR(Begegnungen!$C140=C13,Begegnungen!$C$134=C13,Begegnungen!$C$135=C13,Begegnungen!$C$136=C13,Begegnungen!$C$137=C13,Begegnungen!$C$138=C13,Begegnungen!$C$139=C13),Begegnungen!$E$143,IF(OR(Begegnungen!$E$133=C13,Begegnungen!$E$134=C13,Begegnungen!$E$135=C13,Begegnungen!$E$136=C13,Begegnungen!$E$137=C13,Begegnungen!$E$138=C13,Begegnungen!$E$139=C13),Begegnungen!$C$143,""))</f>
        <v/>
      </c>
      <c r="U13" s="66" t="str">
        <f>IF(OR(Begegnungen!$I140=C13,Begegnungen!$I$134=C13,Begegnungen!$I$135=C13,Begegnungen!$I$136=C13,Begegnungen!$I$137=C13,Begegnungen!$I$138=C13,Begegnungen!$I$139=C13),Begegnungen!$K$143,IF(OR(Begegnungen!$K$133=C13,Begegnungen!$K$134=C13,Begegnungen!$K$135=C13,Begegnungen!$K$136=C13,Begegnungen!$K$137=C13,Begegnungen!$K$138=C13,Begegnungen!$K$139=C13),Begegnungen!$I$143,""))</f>
        <v/>
      </c>
      <c r="V13" s="66" t="str">
        <f>IF(OR(Begegnungen!$C156=C13,Begegnungen!$C$150=C13,Begegnungen!$C$151=C13,Begegnungen!$C$152=C13,Begegnungen!$C$153=C13,Begegnungen!$C$154=C13,Begegnungen!$C$155=C13),Begegnungen!$E$159,IF(OR(Begegnungen!$E$149=C13,Begegnungen!$E$150=C13,Begegnungen!$E$151=C13,Begegnungen!$E$152=C13,Begegnungen!$E$153=C13,Begegnungen!$E$154=C13,Begegnungen!$E$155=C13),Begegnungen!$C$159,""))</f>
        <v/>
      </c>
      <c r="W13" s="66" t="str">
        <f>IF(OR(Begegnungen!$I156=C13,Begegnungen!$I$150=C13,Begegnungen!$I$151=C13,Begegnungen!$I$152=C13,Begegnungen!$I$153=C13,Begegnungen!$I$154=C13,Begegnungen!$I$155=C13),Begegnungen!$K$159,IF(OR(Begegnungen!$K$149=C13,Begegnungen!$K$150=C13,Begegnungen!$K$151=C13,Begegnungen!$K$152=C13,Begegnungen!$K$153=C13,Begegnungen!$K$154=C13,Begegnungen!$K$155=C13),Begegnungen!$I$159,""))</f>
        <v/>
      </c>
      <c r="X13" s="66" t="str">
        <f>IF(OR(Begegnungen!$C172=C13,Begegnungen!$C$166=C13,Begegnungen!$C$167=C13,Begegnungen!$C$168=C13,Begegnungen!$C$169=C13,Begegnungen!$C$170=C13,Begegnungen!$C$171=C13),Begegnungen!$E$175,IF(OR(Begegnungen!$E$165=C13,Begegnungen!$E$166=C13,Begegnungen!$E$167=C13,Begegnungen!$E$168=C13,Begegnungen!$E$169=C13,Begegnungen!$E$170=C13,Begegnungen!$E$171=C13),Begegnungen!$C$175,""))</f>
        <v/>
      </c>
      <c r="Y13" s="66" t="str">
        <f>IF(OR(Begegnungen!$I172=C13,Begegnungen!$I$166=C13,Begegnungen!$I$167=C13,Begegnungen!$I$168=C13,Begegnungen!$I$169=C13,Begegnungen!$I$170=C13,Begegnungen!$I$171=C13),Begegnungen!$K$175,IF(OR(Begegnungen!$K$165=C13,Begegnungen!$K$166=C13,Begegnungen!$K$167=C13,Begegnungen!$K$168=C13,Begegnungen!$K$169=C13,Begegnungen!$K$170=C13,Begegnungen!$K$171=C13),Begegnungen!$I$175,""))</f>
        <v/>
      </c>
      <c r="Z13" s="66" t="str">
        <f>IF(OR(Begegnungen!$C188=C13,Begegnungen!$C$182=C13,Begegnungen!$C$183=C13,Begegnungen!$C$184=C13,Begegnungen!$C$185=C13,Begegnungen!$C$186=C13,Begegnungen!$C$187=C13),Begegnungen!$E$191,IF(OR(Begegnungen!$E$181=C13,Begegnungen!$E$182=C13,Begegnungen!$E$183=C13,Begegnungen!$E$184=C13,Begegnungen!$E$185=C13,Begegnungen!$E$186=C13,Begegnungen!$E$187=C13),Begegnungen!$C$191,""))</f>
        <v/>
      </c>
      <c r="AA13" s="66" t="str">
        <f>IF(OR(Begegnungen!$I188=C13,Begegnungen!$I$182=C13,Begegnungen!$I$183=C13,Begegnungen!$I$184=C13,Begegnungen!$I$185=C13,Begegnungen!$I$186=C13,Begegnungen!$I$187=C13),Begegnungen!$K$191,IF(OR(Begegnungen!$K$181=C13,Begegnungen!$K$182=C13,Begegnungen!$K$183=C13,Begegnungen!$K$184=C13,Begegnungen!$K$185=C13,Begegnungen!$K$186=C13,Begegnungen!$K$187=C13),Begegnungen!$I$191,""))</f>
        <v/>
      </c>
      <c r="AB13" s="66" t="str">
        <f>IF(OR(Begegnungen!$C204=C13,Begegnungen!$C$198=C13,Begegnungen!$C$199=C13,Begegnungen!$C$200=C13,Begegnungen!$C$201=C13,Begegnungen!$C$202=C13,Begegnungen!$C$203=C13),Begegnungen!$E$207,IF(OR(Begegnungen!$E$197=C13,Begegnungen!$E$198=C13,Begegnungen!$E$199=C13,Begegnungen!$E$200=C13,Begegnungen!$E$201=C13,Begegnungen!$E$202=C13,Begegnungen!$E$203=C13),Begegnungen!$C$207,""))</f>
        <v/>
      </c>
      <c r="AC13" s="66" t="str">
        <f>IF(OR(Begegnungen!$I204=C13,Begegnungen!$I$198=C13,Begegnungen!$I$199=C13,Begegnungen!$I$200=C13,Begegnungen!$I$201=C13,Begegnungen!$I$202=C13,Begegnungen!$I$203=C13),Begegnungen!$K$207,IF(OR(Begegnungen!$K$197=C13,Begegnungen!$K$198=C13,Begegnungen!$K$199=C13,Begegnungen!$K$200=C13,Begegnungen!$K$201=C13,Begegnungen!$K$202=C13,Begegnungen!$K$203=C13),Begegnungen!$I$207,""))</f>
        <v/>
      </c>
      <c r="AD13" s="66" t="str">
        <f>IF(OR(Begegnungen!$C220=C13,Begegnungen!$C$214=C13,Begegnungen!$C$215=C13,Begegnungen!$C$216=C13,Begegnungen!$C$217=C13,Begegnungen!$C$218=C13,Begegnungen!$C$219=C13),Begegnungen!$E$223,IF(OR(Begegnungen!$E$213=C13,Begegnungen!$E$214=C13,Begegnungen!$E$215=C13,Begegnungen!$E$216=C13,Begegnungen!$E$217=C13,Begegnungen!$E$218=C13,Begegnungen!$E$219=C13),Begegnungen!$C$223,""))</f>
        <v/>
      </c>
      <c r="AE13" s="66" t="str">
        <f>IF(OR(Begegnungen!$I220=C13,Begegnungen!$I$214=C13,Begegnungen!$I$215=C13,Begegnungen!$I$216=C13,Begegnungen!$I$217=C13,Begegnungen!$I$218=C13,Begegnungen!$I$219=C13),Begegnungen!$K$223,IF(OR(Begegnungen!$K$213=C13,Begegnungen!$K$214=C13,Begegnungen!$K$215=C13,Begegnungen!$K$216=C13,Begegnungen!$K$217=C13,Begegnungen!$K$218=C13,Begegnungen!$K$219=C13),Begegnungen!$I$223,""))</f>
        <v/>
      </c>
      <c r="AF13" s="136" t="str">
        <f>IF(OR(Begegnungen!$C236=C13,Begegnungen!$C$230=C13,Begegnungen!$C$231=C13,Begegnungen!$C$232=C13,Begegnungen!$C$233=C13,Begegnungen!$C$234=C13,Begegnungen!$C$235=C13),Begegnungen!$E$239,IF(OR(Begegnungen!$E$229=C13,Begegnungen!$E$230=C13,Begegnungen!$E$231=C13,Begegnungen!$E$232=C13,Begegnungen!$E$233=C13,Begegnungen!$E$234=C13,Begegnungen!$E$235=C13),Begegnungen!$C$239,""))</f>
        <v/>
      </c>
      <c r="AG13" s="66" t="str">
        <f>IF(OR(Begegnungen!$I236=C13,Begegnungen!$I$230=C13,Begegnungen!$I$231=C13,Begegnungen!$I$232=C13,Begegnungen!$I$233=C13,Begegnungen!$I$234=C13,Begegnungen!$I$235=C13),Begegnungen!$K$239,IF(OR(Begegnungen!$K$229=C13,Begegnungen!$K$230=C13,Begegnungen!$K$231=C13,Begegnungen!$K$232=C13,Begegnungen!$K$233=C13,Begegnungen!$K$234=C13,Begegnungen!$K$235=C13),Begegnungen!$I$239,""))</f>
        <v/>
      </c>
      <c r="AH13" s="66" t="str">
        <f>IF(OR(Begegnungen!$C252=C13,Begegnungen!$C$246=C13,Begegnungen!$C$247=C13,Begegnungen!$C$248=C13,Begegnungen!$C$249=C13,Begegnungen!$C$250=C13,Begegnungen!$C$251=C13),Begegnungen!$E$255,IF(OR(Begegnungen!$E$245=C13,Begegnungen!$E$246=C13,Begegnungen!$E$247=C13,Begegnungen!$E$248=C13,Begegnungen!$E$249=C13,Begegnungen!$E$250=C13,Begegnungen!$E$251=C13),Begegnungen!$C$255,""))</f>
        <v/>
      </c>
      <c r="AI13" s="66" t="str">
        <f>IF(OR(Begegnungen!$I252=C13,Begegnungen!$I$246=C13,Begegnungen!$I$247=C13,Begegnungen!$I$248=C13,Begegnungen!$I$249=C13,Begegnungen!$I$250=C13,Begegnungen!$I$251=C13),Begegnungen!$K$255,IF(OR(Begegnungen!$K$245=C13,Begegnungen!$K$246=C13,Begegnungen!$K$247=C13,Begegnungen!$K$248=C13,Begegnungen!$K$249=C13,Begegnungen!$K$250=C13,Begegnungen!$K$251=C13),Begegnungen!$I$255,""))</f>
        <v/>
      </c>
      <c r="AJ13" s="66" t="str">
        <f>IF(OR(Begegnungen!$C268=C13,Begegnungen!$C$262=C13,Begegnungen!$C$263=C13,Begegnungen!$C$264=C13,Begegnungen!$C$265=C13,Begegnungen!$C$266=C13,Begegnungen!$C$267=C13),Begegnungen!$E$271,IF(OR(Begegnungen!$E$261=C13,Begegnungen!$E$262=C13,Begegnungen!$E$263=C13,Begegnungen!$E$264=C13,Begegnungen!$E$265=C13,Begegnungen!$E$266=C13,Begegnungen!$E$267=C13),Begegnungen!$C$271,""))</f>
        <v/>
      </c>
      <c r="AK13" s="66" t="str">
        <f>IF(OR(Begegnungen!$I268=C13,Begegnungen!$I$262=C13,Begegnungen!$I$263=C13,Begegnungen!$I$264=C13,Begegnungen!$I$265=C13,Begegnungen!$I$266=C13,Begegnungen!$I$267=C13),Begegnungen!$K$271,IF(OR(Begegnungen!$K$261=C13,Begegnungen!$K$262=C13,Begegnungen!$K$263=C13,Begegnungen!$K$264=C13,Begegnungen!$K$265=C13,Begegnungen!$K$266=C13,Begegnungen!$K$267=C13),Begegnungen!$I$271,""))</f>
        <v/>
      </c>
      <c r="AL13" s="66" t="str">
        <f>IF(OR(Begegnungen!$C284=C13,Begegnungen!$C$278=C13,Begegnungen!$C$279=C13,Begegnungen!$C$280=C13,Begegnungen!$C$281=C13,Begegnungen!$C$282=C13,Begegnungen!$C$283=C13),Begegnungen!$E$287,IF(OR(Begegnungen!$E$277=C13,Begegnungen!$E$278=C13,Begegnungen!$E$279=C13,Begegnungen!$E$280=C13,Begegnungen!$E$281=C13,Begegnungen!$E$282=C13,Begegnungen!$E$283=C13),Begegnungen!$C$287,""))</f>
        <v/>
      </c>
      <c r="AM13" s="136" t="str">
        <f>IF(OR(Begegnungen!$I284=C13,Begegnungen!$I$278=C13,Begegnungen!$I$279=C13,Begegnungen!$I$280=C13,Begegnungen!$I$281=C13,Begegnungen!$I$282=C13,Begegnungen!$I$283=C13),Begegnungen!$K$287,IF(OR(Begegnungen!$K$277=C13,Begegnungen!$K$278=C13,Begegnungen!$K$279=C13,Begegnungen!$K$280=C13,Begegnungen!$K$281=C13,Begegnungen!$K$282=C13,Begegnungen!$K$283=C13),Begegnungen!$I$287,""))</f>
        <v/>
      </c>
      <c r="AN13" s="66" t="str">
        <f>IF(OR(Begegnungen!$C300=C13,Begegnungen!$C$294=C13,Begegnungen!$C$295=C13,Begegnungen!$C$296=C13,Begegnungen!$C$297=C13,Begegnungen!$C$298=C13,Begegnungen!$C$299=C13),Begegnungen!$E$303,IF(OR(Begegnungen!$E$293=C13,Begegnungen!$E$294=C13,Begegnungen!$E$295=C13,Begegnungen!$E$296=C13,Begegnungen!$E$297=C13,Begegnungen!$E$298=C13,Begegnungen!$E$299=C13),Begegnungen!$C$303,""))</f>
        <v/>
      </c>
      <c r="AO13" s="136" t="str">
        <f>IF(OR(Begegnungen!$I300=C13,Begegnungen!$I$294=C13,Begegnungen!$I$295=C13,Begegnungen!$I$296=C13,Begegnungen!$I$297=C13,Begegnungen!$I$298=C13,Begegnungen!$I$299=C13),Begegnungen!$K$303,IF(OR(Begegnungen!$K$293=C13,Begegnungen!$K$294=C13,Begegnungen!$K$295=C13,Begegnungen!$K$296=C13,Begegnungen!$K$297=C13,Begegnungen!$K$298=C13,Begegnungen!$K$299=C13),Begegnungen!$I$303,""))</f>
        <v/>
      </c>
      <c r="AP13" s="136" t="str">
        <f>IF(OR(Begegnungen!$C316=C13,Begegnungen!$C$310=C13,Begegnungen!$C$311=C13,Begegnungen!$C$312=C13,Begegnungen!$C$313=C13,Begegnungen!$C$314=C13,Begegnungen!$C$315=C13),Begegnungen!$E$319,IF(OR(Begegnungen!$E$309=C13,Begegnungen!$E$310=C13,Begegnungen!$E$311=C13,Begegnungen!$E$312=C13,Begegnungen!$E$313=C13,Begegnungen!$E$314=C13,Begegnungen!$E$315=C13),Begegnungen!$C$319,""))</f>
        <v/>
      </c>
      <c r="AQ13" s="66" t="str">
        <f>IF(OR(Begegnungen!$I316=C13,Begegnungen!$I$310=C13,Begegnungen!$I$311=C13,Begegnungen!$I$312=C13,Begegnungen!$I$313=C13,Begegnungen!$I$314=C13,Begegnungen!$I$315=C13),Begegnungen!$K$319,IF(OR(Begegnungen!$K$309=C13,Begegnungen!$K$310=C13,Begegnungen!$K$311=C13,Begegnungen!$K$312=C13,Begegnungen!$K$313=C13,Begegnungen!$K$314=C13,Begegnungen!$K$315=C13),Begegnungen!$I$319,""))</f>
        <v/>
      </c>
      <c r="AR13" s="25">
        <f t="shared" si="0"/>
        <v>0</v>
      </c>
      <c r="AS13" s="139">
        <f>Spiele!AS13</f>
        <v>0</v>
      </c>
      <c r="AT13" s="140" t="e">
        <f t="shared" si="1"/>
        <v>#DIV/0!</v>
      </c>
    </row>
    <row r="14" spans="2:46" x14ac:dyDescent="0.25">
      <c r="B14" s="3">
        <v>9</v>
      </c>
      <c r="C14" s="65" t="s">
        <v>18</v>
      </c>
      <c r="D14" s="66" t="str">
        <f>IF(OR(Begegnungen!$C$3=C14,Begegnungen!$C$4=C14,Begegnungen!$C$5=C14,Begegnungen!$C$6=C14,Begegnungen!$C$7=C14,Begegnungen!$C$8=C14,Begegnungen!$C$9=C14),Begegnungen!$E$13,IF(OR(Begegnungen!$E$3=C14,Begegnungen!$E$4=C14,Begegnungen!$E$5=C14,Begegnungen!$E$6=C14,Begegnungen!$E$7=C14,Begegnungen!$E$8=C14,Begegnungen!$E$9=C14),Begegnungen!$C$13,""))</f>
        <v/>
      </c>
      <c r="E14" s="66" t="str">
        <f>IF(OR(Begegnungen!$I$3=C14,Begegnungen!$I$4=C14,Begegnungen!$I$5=C14,Begegnungen!$I$6=C14,Begegnungen!$I$7=C14,Begegnungen!$I$8=C14,Begegnungen!$I$9=C14),Begegnungen!$K$13,IF(OR(Begegnungen!$K$3=C14,Begegnungen!$K$4=C14,Begegnungen!$K$5=C14,Begegnungen!$K$6=C14,Begegnungen!$K$7=C14,Begegnungen!$K$8=C14,Begegnungen!$K$9=C14),Begegnungen!$I$13,""))</f>
        <v/>
      </c>
      <c r="F14" s="66" t="str">
        <f>IF(OR(Begegnungen!$C$19=C14,Begegnungen!$C$20=C14,Begegnungen!$C$21=C14,Begegnungen!$C$22=C14,Begegnungen!$C$23=C14,Begegnungen!$C$24=C14,Begegnungen!$C$25=C14),Begegnungen!$E$29,IF(OR(Begegnungen!$E$19=C14,Begegnungen!$E$20=C14,Begegnungen!$E$21=C14,Begegnungen!$E$22=C14,Begegnungen!$E$23=C14,Begegnungen!$E$24=C14,Begegnungen!$E$25=C14),Begegnungen!$C$29,""))</f>
        <v/>
      </c>
      <c r="G14" s="66" t="str">
        <f>IF(OR(Begegnungen!$I$19=C14,Begegnungen!$I$20=C14,Begegnungen!$I$21=C14,Begegnungen!$I$22=C14,Begegnungen!$I$23=C14,Begegnungen!$I$24=C14,Begegnungen!$I$25=C14),Begegnungen!$K$29,IF(OR(Begegnungen!$K$19=C14,Begegnungen!$K$20=C14,Begegnungen!$K$21=C14,Begegnungen!$K$22=C14,Begegnungen!$K$23=C14,Begegnungen!$K$24=C14,Begegnungen!$K$25=C14),Begegnungen!$I$29,""))</f>
        <v/>
      </c>
      <c r="H14" s="66" t="str">
        <f>IF(OR(Begegnungen!$C$35=C14,Begegnungen!$C$36=C14,Begegnungen!$C$37=C14,Begegnungen!$C$38=C14,Begegnungen!$C$39=C14,Begegnungen!$C$40=C14,Begegnungen!$C$41=C14),Begegnungen!$E$46,IF(OR(Begegnungen!$E$35=C14,Begegnungen!$E$36=C14,Begegnungen!$E$37=C14,Begegnungen!$E$38=C14,Begegnungen!$E$39=C14,Begegnungen!$E$40=C14,Begegnungen!$E$41=C14),Begegnungen!$C$46,""))</f>
        <v/>
      </c>
      <c r="I14" s="66" t="str">
        <f>IF(OR(Begegnungen!$I$35=C14,Begegnungen!$I$36=C14,Begegnungen!$I$37=C14,Begegnungen!$I$38=C14,Begegnungen!$I$39=C14,Begegnungen!$I$40=C14,Begegnungen!$I$41=C14),Begegnungen!$K$46,IF(OR(Begegnungen!$K$35=C14,Begegnungen!$K$36=C14,Begegnungen!$K$37=C14,Begegnungen!$K$38=C14,Begegnungen!$K$39=C14,Begegnungen!$K$40=C14,Begegnungen!$K$41=C14),Begegnungen!$I$46,""))</f>
        <v/>
      </c>
      <c r="J14" s="136" t="str">
        <f>IF(OR(Begegnungen!$C$52=C14,Begegnungen!$C$53=C14,Begegnungen!$C$54=C14,Begegnungen!$C$55=C14,Begegnungen!$C$56=C14,Begegnungen!$C$57=C14,Begegnungen!$C$58=C14),Begegnungen!$E$62,IF(OR(Begegnungen!$E$52=C14,Begegnungen!$E$53=C14,Begegnungen!$E$54=C14,Begegnungen!$E$55=C14,Begegnungen!$E$56=C14,Begegnungen!$E$57=C14,Begegnungen!$E$58=C14),Begegnungen!$C$62,""))</f>
        <v/>
      </c>
      <c r="K14" s="66" t="str">
        <f>IF(OR(Begegnungen!$I$52=C14,Begegnungen!$I$53=C14,Begegnungen!$I$54=C14,Begegnungen!$I$55=C14,Begegnungen!$I$56=C14,Begegnungen!$I$57=C14,Begegnungen!$I$58=C14),Begegnungen!$K$62,IF(OR(Begegnungen!$K$52=C14,Begegnungen!$K$53=C14,Begegnungen!$K$54=C14,Begegnungen!$K$55=C14,Begegnungen!$K$56=C14,Begegnungen!$K$57=C14,Begegnungen!$K$58=C14),Begegnungen!$I$62,""))</f>
        <v/>
      </c>
      <c r="L14" s="136" t="str">
        <f>IF(OR(Begegnungen!$C76=C14,Begegnungen!$C$69=C14,Begegnungen!$C$70=C14,Begegnungen!$C$71=C14,Begegnungen!$C$72=C14,Begegnungen!$C$73=C14,Begegnungen!$C$74=C14),Begegnungen!$E$78,IF(OR(Begegnungen!$E$68=C14,Begegnungen!$E$69=C14,Begegnungen!$E$70=C14,Begegnungen!$E$71=C14,Begegnungen!$E$72=C14,Begegnungen!$E$73=C14,Begegnungen!$E$74=C14),Begegnungen!$C$78,""))</f>
        <v/>
      </c>
      <c r="M14" s="66" t="str">
        <f>IF(OR(Begegnungen!$I76=C14,Begegnungen!$I$69=C14,Begegnungen!$I$70=C14,Begegnungen!$I$71=C14,Begegnungen!$I$72=C14,Begegnungen!$I$73=C14,Begegnungen!$I$74=C14),Begegnungen!$K$78,IF(OR(Begegnungen!$K$68=C14,Begegnungen!$K$69=C14,Begegnungen!$K$70=C14,Begegnungen!$K$71=C14,Begegnungen!$K$72=C14,Begegnungen!$K$73=C14,Begegnungen!$K$74=C14),Begegnungen!$I$78,""))</f>
        <v/>
      </c>
      <c r="N14" s="66" t="str">
        <f>IF(OR(Begegnungen!$C93=C14,Begegnungen!$C$85=C14,Begegnungen!$C$86=C14,Begegnungen!$C$87=C14,Begegnungen!$C$88=C14,Begegnungen!$C$89=C14,Begegnungen!$C$90=C14),Begegnungen!$E$95,IF(OR(Begegnungen!$E$84=C14,Begegnungen!$E$85=C14,Begegnungen!$E$86=C14,Begegnungen!$E$87=C14,Begegnungen!$E$88=C14,Begegnungen!$E$89=C14,Begegnungen!$E$90=C14),Begegnungen!$C$95,""))</f>
        <v/>
      </c>
      <c r="O14" s="66" t="str">
        <f>IF(OR(Begegnungen!$I93=C14,Begegnungen!$I$85=C14,Begegnungen!$I$86=C14,Begegnungen!$I$87=C14,Begegnungen!$I$88=C14,Begegnungen!$I$89=C14,Begegnungen!$I$90=C14),Begegnungen!$K$95,IF(OR(Begegnungen!$K$84=C14,Begegnungen!$K$85=C14,Begegnungen!$K$86=C14,Begegnungen!$K$87=C14,Begegnungen!$K$88=C14,Begegnungen!$K$89=C14,Begegnungen!$K$90=C14),Begegnungen!$I$95,""))</f>
        <v/>
      </c>
      <c r="P14" s="66" t="str">
        <f>IF(OR(Begegnungen!$C109=C14,Begegnungen!$C$102=C14,Begegnungen!$C$103=C14,Begegnungen!$C$104=C14,Begegnungen!$C$105=C14,Begegnungen!$C$106=C14,Begegnungen!$C$107=C14),Begegnungen!$E$111,IF(OR(Begegnungen!$E$101=C14,Begegnungen!$E$102=C14,Begegnungen!$E$103=C14,Begegnungen!$E$104=C14,Begegnungen!$E$105=C14,Begegnungen!$E$106=C14,Begegnungen!$E$107=C14),Begegnungen!$C$111,""))</f>
        <v/>
      </c>
      <c r="Q14" s="66" t="str">
        <f>IF(OR(Begegnungen!$I109=C14,Begegnungen!$I$102=C14,Begegnungen!$I$103=C14,Begegnungen!$I$104=C14,Begegnungen!$I$105=C14,Begegnungen!$I$106=C14,Begegnungen!$I$107=C14),Begegnungen!$K$111,IF(OR(Begegnungen!$K$101=C14,Begegnungen!$K$102=C14,Begegnungen!$K$103=C14,Begegnungen!$K$104=C14,Begegnungen!$K$105=C14,Begegnungen!$K$106=C14,Begegnungen!$K$107=C14),Begegnungen!$I$111,""))</f>
        <v/>
      </c>
      <c r="R14" s="136" t="str">
        <f>IF(OR(Begegnungen!$C125=C14,Begegnungen!$C$118=C14,Begegnungen!$C$119=C14,Begegnungen!$C$120=C14,Begegnungen!$C$121=C14,Begegnungen!$C$122=C14,Begegnungen!$C$123=C14),Begegnungen!$E$127,IF(OR(Begegnungen!$E$117=C14,Begegnungen!$E$118=C14,Begegnungen!$E$119=C14,Begegnungen!$E$120=C14,Begegnungen!$E$121=C14,Begegnungen!$E$122=C14,Begegnungen!$E$123=C14),Begegnungen!$C$127,""))</f>
        <v/>
      </c>
      <c r="S14" s="66" t="str">
        <f>IF(OR(Begegnungen!$I$117=C14,Begegnungen!$I$118=C14,Begegnungen!$I$119=C14,Begegnungen!$I$120=C14,Begegnungen!$I$121=C14,Begegnungen!$I$122=C14,Begegnungen!$I$123=C14),Begegnungen!$K$127,IF(OR(Begegnungen!$K$117=C14,Begegnungen!$K$118=C14,Begegnungen!$K$119=C14,Begegnungen!$K$120=C14,Begegnungen!$K$121=C14,Begegnungen!$K$122=C14,Begegnungen!$K$123=C14),Begegnungen!$I$127,""))</f>
        <v/>
      </c>
      <c r="T14" s="66" t="str">
        <f>IF(OR(Begegnungen!$C141=C14,Begegnungen!$C$134=C14,Begegnungen!$C$135=C14,Begegnungen!$C$136=C14,Begegnungen!$C$137=C14,Begegnungen!$C$138=C14,Begegnungen!$C$139=C14),Begegnungen!$E$143,IF(OR(Begegnungen!$E$133=C14,Begegnungen!$E$134=C14,Begegnungen!$E$135=C14,Begegnungen!$E$136=C14,Begegnungen!$E$137=C14,Begegnungen!$E$138=C14,Begegnungen!$E$139=C14),Begegnungen!$C$143,""))</f>
        <v/>
      </c>
      <c r="U14" s="66" t="str">
        <f>IF(OR(Begegnungen!$I141=C14,Begegnungen!$I$134=C14,Begegnungen!$I$135=C14,Begegnungen!$I$136=C14,Begegnungen!$I$137=C14,Begegnungen!$I$138=C14,Begegnungen!$I$139=C14),Begegnungen!$K$143,IF(OR(Begegnungen!$K$133=C14,Begegnungen!$K$134=C14,Begegnungen!$K$135=C14,Begegnungen!$K$136=C14,Begegnungen!$K$137=C14,Begegnungen!$K$138=C14,Begegnungen!$K$139=C14),Begegnungen!$I$143,""))</f>
        <v/>
      </c>
      <c r="V14" s="66" t="str">
        <f>IF(OR(Begegnungen!$C157=C14,Begegnungen!$C$150=C14,Begegnungen!$C$151=C14,Begegnungen!$C$152=C14,Begegnungen!$C$153=C14,Begegnungen!$C$154=C14,Begegnungen!$C$155=C14),Begegnungen!$E$159,IF(OR(Begegnungen!$E$149=C14,Begegnungen!$E$150=C14,Begegnungen!$E$151=C14,Begegnungen!$E$152=C14,Begegnungen!$E$153=C14,Begegnungen!$E$154=C14,Begegnungen!$E$155=C14),Begegnungen!$C$159,""))</f>
        <v/>
      </c>
      <c r="W14" s="66" t="str">
        <f>IF(OR(Begegnungen!$I157=C14,Begegnungen!$I$150=C14,Begegnungen!$I$151=C14,Begegnungen!$I$152=C14,Begegnungen!$I$153=C14,Begegnungen!$I$154=C14,Begegnungen!$I$155=C14),Begegnungen!$K$159,IF(OR(Begegnungen!$K$149=C14,Begegnungen!$K$150=C14,Begegnungen!$K$151=C14,Begegnungen!$K$152=C14,Begegnungen!$K$153=C14,Begegnungen!$K$154=C14,Begegnungen!$K$155=C14),Begegnungen!$I$159,""))</f>
        <v/>
      </c>
      <c r="X14" s="66" t="str">
        <f>IF(OR(Begegnungen!$C173=C14,Begegnungen!$C$166=C14,Begegnungen!$C$167=C14,Begegnungen!$C$168=C14,Begegnungen!$C$169=C14,Begegnungen!$C$170=C14,Begegnungen!$C$171=C14),Begegnungen!$E$175,IF(OR(Begegnungen!$E$165=C14,Begegnungen!$E$166=C14,Begegnungen!$E$167=C14,Begegnungen!$E$168=C14,Begegnungen!$E$169=C14,Begegnungen!$E$170=C14,Begegnungen!$E$171=C14),Begegnungen!$C$175,""))</f>
        <v/>
      </c>
      <c r="Y14" s="66" t="str">
        <f>IF(OR(Begegnungen!$I173=C14,Begegnungen!$I$166=C14,Begegnungen!$I$167=C14,Begegnungen!$I$168=C14,Begegnungen!$I$169=C14,Begegnungen!$I$170=C14,Begegnungen!$I$171=C14),Begegnungen!$K$175,IF(OR(Begegnungen!$K$165=C14,Begegnungen!$K$166=C14,Begegnungen!$K$167=C14,Begegnungen!$K$168=C14,Begegnungen!$K$169=C14,Begegnungen!$K$170=C14,Begegnungen!$K$171=C14),Begegnungen!$I$175,""))</f>
        <v/>
      </c>
      <c r="Z14" s="66" t="str">
        <f>IF(OR(Begegnungen!$C189=C14,Begegnungen!$C$182=C14,Begegnungen!$C$183=C14,Begegnungen!$C$184=C14,Begegnungen!$C$185=C14,Begegnungen!$C$186=C14,Begegnungen!$C$187=C14),Begegnungen!$E$191,IF(OR(Begegnungen!$E$181=C14,Begegnungen!$E$182=C14,Begegnungen!$E$183=C14,Begegnungen!$E$184=C14,Begegnungen!$E$185=C14,Begegnungen!$E$186=C14,Begegnungen!$E$187=C14),Begegnungen!$C$191,""))</f>
        <v/>
      </c>
      <c r="AA14" s="66" t="str">
        <f>IF(OR(Begegnungen!$I189=C14,Begegnungen!$I$182=C14,Begegnungen!$I$183=C14,Begegnungen!$I$184=C14,Begegnungen!$I$185=C14,Begegnungen!$I$186=C14,Begegnungen!$I$187=C14),Begegnungen!$K$191,IF(OR(Begegnungen!$K$181=C14,Begegnungen!$K$182=C14,Begegnungen!$K$183=C14,Begegnungen!$K$184=C14,Begegnungen!$K$185=C14,Begegnungen!$K$186=C14,Begegnungen!$K$187=C14),Begegnungen!$I$191,""))</f>
        <v/>
      </c>
      <c r="AB14" s="66" t="str">
        <f>IF(OR(Begegnungen!$C205=C14,Begegnungen!$C$198=C14,Begegnungen!$C$199=C14,Begegnungen!$C$200=C14,Begegnungen!$C$201=C14,Begegnungen!$C$202=C14,Begegnungen!$C$203=C14),Begegnungen!$E$207,IF(OR(Begegnungen!$E$197=C14,Begegnungen!$E$198=C14,Begegnungen!$E$199=C14,Begegnungen!$E$200=C14,Begegnungen!$E$201=C14,Begegnungen!$E$202=C14,Begegnungen!$E$203=C14),Begegnungen!$C$207,""))</f>
        <v/>
      </c>
      <c r="AC14" s="66" t="str">
        <f>IF(OR(Begegnungen!$I205=C14,Begegnungen!$I$198=C14,Begegnungen!$I$199=C14,Begegnungen!$I$200=C14,Begegnungen!$I$201=C14,Begegnungen!$I$202=C14,Begegnungen!$I$203=C14),Begegnungen!$K$207,IF(OR(Begegnungen!$K$197=C14,Begegnungen!$K$198=C14,Begegnungen!$K$199=C14,Begegnungen!$K$200=C14,Begegnungen!$K$201=C14,Begegnungen!$K$202=C14,Begegnungen!$K$203=C14),Begegnungen!$I$207,""))</f>
        <v/>
      </c>
      <c r="AD14" s="66" t="str">
        <f>IF(OR(Begegnungen!$C221=C14,Begegnungen!$C$214=C14,Begegnungen!$C$215=C14,Begegnungen!$C$216=C14,Begegnungen!$C$217=C14,Begegnungen!$C$218=C14,Begegnungen!$C$219=C14),Begegnungen!$E$223,IF(OR(Begegnungen!$E$213=C14,Begegnungen!$E$214=C14,Begegnungen!$E$215=C14,Begegnungen!$E$216=C14,Begegnungen!$E$217=C14,Begegnungen!$E$218=C14,Begegnungen!$E$219=C14),Begegnungen!$C$223,""))</f>
        <v/>
      </c>
      <c r="AE14" s="66" t="str">
        <f>IF(OR(Begegnungen!$I221=C14,Begegnungen!$I$214=C14,Begegnungen!$I$215=C14,Begegnungen!$I$216=C14,Begegnungen!$I$217=C14,Begegnungen!$I$218=C14,Begegnungen!$I$219=C14),Begegnungen!$K$223,IF(OR(Begegnungen!$K$213=C14,Begegnungen!$K$214=C14,Begegnungen!$K$215=C14,Begegnungen!$K$216=C14,Begegnungen!$K$217=C14,Begegnungen!$K$218=C14,Begegnungen!$K$219=C14),Begegnungen!$I$223,""))</f>
        <v/>
      </c>
      <c r="AF14" s="136" t="str">
        <f>IF(OR(Begegnungen!$C237=C14,Begegnungen!$C$230=C14,Begegnungen!$C$231=C14,Begegnungen!$C$232=C14,Begegnungen!$C$233=C14,Begegnungen!$C$234=C14,Begegnungen!$C$235=C14),Begegnungen!$E$239,IF(OR(Begegnungen!$E$229=C14,Begegnungen!$E$230=C14,Begegnungen!$E$231=C14,Begegnungen!$E$232=C14,Begegnungen!$E$233=C14,Begegnungen!$E$234=C14,Begegnungen!$E$235=C14),Begegnungen!$C$239,""))</f>
        <v/>
      </c>
      <c r="AG14" s="66" t="str">
        <f>IF(OR(Begegnungen!$I237=C14,Begegnungen!$I$230=C14,Begegnungen!$I$231=C14,Begegnungen!$I$232=C14,Begegnungen!$I$233=C14,Begegnungen!$I$234=C14,Begegnungen!$I$235=C14),Begegnungen!$K$239,IF(OR(Begegnungen!$K$229=C14,Begegnungen!$K$230=C14,Begegnungen!$K$231=C14,Begegnungen!$K$232=C14,Begegnungen!$K$233=C14,Begegnungen!$K$234=C14,Begegnungen!$K$235=C14),Begegnungen!$I$239,""))</f>
        <v/>
      </c>
      <c r="AH14" s="66" t="str">
        <f>IF(OR(Begegnungen!$C253=C14,Begegnungen!$C$246=C14,Begegnungen!$C$247=C14,Begegnungen!$C$248=C14,Begegnungen!$C$249=C14,Begegnungen!$C$250=C14,Begegnungen!$C$251=C14),Begegnungen!$E$255,IF(OR(Begegnungen!$E$245=C14,Begegnungen!$E$246=C14,Begegnungen!$E$247=C14,Begegnungen!$E$248=C14,Begegnungen!$E$249=C14,Begegnungen!$E$250=C14,Begegnungen!$E$251=C14),Begegnungen!$C$255,""))</f>
        <v/>
      </c>
      <c r="AI14" s="66" t="str">
        <f>IF(OR(Begegnungen!$I253=C14,Begegnungen!$I$246=C14,Begegnungen!$I$247=C14,Begegnungen!$I$248=C14,Begegnungen!$I$249=C14,Begegnungen!$I$250=C14,Begegnungen!$I$251=C14),Begegnungen!$K$255,IF(OR(Begegnungen!$K$245=C14,Begegnungen!$K$246=C14,Begegnungen!$K$247=C14,Begegnungen!$K$248=C14,Begegnungen!$K$249=C14,Begegnungen!$K$250=C14,Begegnungen!$K$251=C14),Begegnungen!$I$255,""))</f>
        <v/>
      </c>
      <c r="AJ14" s="66" t="str">
        <f>IF(OR(Begegnungen!$C269=C14,Begegnungen!$C$262=C14,Begegnungen!$C$263=C14,Begegnungen!$C$264=C14,Begegnungen!$C$265=C14,Begegnungen!$C$266=C14,Begegnungen!$C$267=C14),Begegnungen!$E$271,IF(OR(Begegnungen!$E$261=C14,Begegnungen!$E$262=C14,Begegnungen!$E$263=C14,Begegnungen!$E$264=C14,Begegnungen!$E$265=C14,Begegnungen!$E$266=C14,Begegnungen!$E$267=C14),Begegnungen!$C$271,""))</f>
        <v/>
      </c>
      <c r="AK14" s="66" t="str">
        <f>IF(OR(Begegnungen!$I269=C14,Begegnungen!$I$262=C14,Begegnungen!$I$263=C14,Begegnungen!$I$264=C14,Begegnungen!$I$265=C14,Begegnungen!$I$266=C14,Begegnungen!$I$267=C14),Begegnungen!$K$271,IF(OR(Begegnungen!$K$261=C14,Begegnungen!$K$262=C14,Begegnungen!$K$263=C14,Begegnungen!$K$264=C14,Begegnungen!$K$265=C14,Begegnungen!$K$266=C14,Begegnungen!$K$267=C14),Begegnungen!$I$271,""))</f>
        <v/>
      </c>
      <c r="AL14" s="66" t="str">
        <f>IF(OR(Begegnungen!$C285=C14,Begegnungen!$C$278=C14,Begegnungen!$C$279=C14,Begegnungen!$C$280=C14,Begegnungen!$C$281=C14,Begegnungen!$C$282=C14,Begegnungen!$C$283=C14),Begegnungen!$E$287,IF(OR(Begegnungen!$E$277=C14,Begegnungen!$E$278=C14,Begegnungen!$E$279=C14,Begegnungen!$E$280=C14,Begegnungen!$E$281=C14,Begegnungen!$E$282=C14,Begegnungen!$E$283=C14),Begegnungen!$C$287,""))</f>
        <v/>
      </c>
      <c r="AM14" s="136" t="str">
        <f>IF(OR(Begegnungen!$I285=C14,Begegnungen!$I$278=C14,Begegnungen!$I$279=C14,Begegnungen!$I$280=C14,Begegnungen!$I$281=C14,Begegnungen!$I$282=C14,Begegnungen!$I$283=C14),Begegnungen!$K$287,IF(OR(Begegnungen!$K$277=C14,Begegnungen!$K$278=C14,Begegnungen!$K$279=C14,Begegnungen!$K$280=C14,Begegnungen!$K$281=C14,Begegnungen!$K$282=C14,Begegnungen!$K$283=C14),Begegnungen!$I$287,""))</f>
        <v/>
      </c>
      <c r="AN14" s="66" t="str">
        <f>IF(OR(Begegnungen!$C301=C14,Begegnungen!$C$294=C14,Begegnungen!$C$295=C14,Begegnungen!$C$296=C14,Begegnungen!$C$297=C14,Begegnungen!$C$298=C14,Begegnungen!$C$299=C14),Begegnungen!$E$303,IF(OR(Begegnungen!$E$293=C14,Begegnungen!$E$294=C14,Begegnungen!$E$295=C14,Begegnungen!$E$296=C14,Begegnungen!$E$297=C14,Begegnungen!$E$298=C14,Begegnungen!$E$299=C14),Begegnungen!$C$303,""))</f>
        <v/>
      </c>
      <c r="AO14" s="136" t="str">
        <f>IF(OR(Begegnungen!$I301=C14,Begegnungen!$I$294=C14,Begegnungen!$I$295=C14,Begegnungen!$I$296=C14,Begegnungen!$I$297=C14,Begegnungen!$I$298=C14,Begegnungen!$I$299=C14),Begegnungen!$K$303,IF(OR(Begegnungen!$K$293=C14,Begegnungen!$K$294=C14,Begegnungen!$K$295=C14,Begegnungen!$K$296=C14,Begegnungen!$K$297=C14,Begegnungen!$K$298=C14,Begegnungen!$K$299=C14),Begegnungen!$I$303,""))</f>
        <v/>
      </c>
      <c r="AP14" s="136" t="str">
        <f>IF(OR(Begegnungen!$C317=C14,Begegnungen!$C$310=C14,Begegnungen!$C$311=C14,Begegnungen!$C$312=C14,Begegnungen!$C$313=C14,Begegnungen!$C$314=C14,Begegnungen!$C$315=C14),Begegnungen!$E$319,IF(OR(Begegnungen!$E$309=C14,Begegnungen!$E$310=C14,Begegnungen!$E$311=C14,Begegnungen!$E$312=C14,Begegnungen!$E$313=C14,Begegnungen!$E$314=C14,Begegnungen!$E$315=C14),Begegnungen!$C$319,""))</f>
        <v/>
      </c>
      <c r="AQ14" s="66" t="str">
        <f>IF(OR(Begegnungen!$I317=C14,Begegnungen!$I$310=C14,Begegnungen!$I$311=C14,Begegnungen!$I$312=C14,Begegnungen!$I$313=C14,Begegnungen!$I$314=C14,Begegnungen!$I$315=C14),Begegnungen!$K$319,IF(OR(Begegnungen!$K$309=C14,Begegnungen!$K$310=C14,Begegnungen!$K$311=C14,Begegnungen!$K$312=C14,Begegnungen!$K$313=C14,Begegnungen!$K$314=C14,Begegnungen!$K$315=C14),Begegnungen!$I$319,""))</f>
        <v/>
      </c>
      <c r="AR14" s="25">
        <f t="shared" si="0"/>
        <v>0</v>
      </c>
      <c r="AS14" s="139">
        <f>Spiele!AS14</f>
        <v>0</v>
      </c>
      <c r="AT14" s="140" t="e">
        <f t="shared" si="1"/>
        <v>#DIV/0!</v>
      </c>
    </row>
    <row r="15" spans="2:46" x14ac:dyDescent="0.25">
      <c r="B15" s="3">
        <v>10</v>
      </c>
      <c r="C15" s="65" t="s">
        <v>16</v>
      </c>
      <c r="D15" s="66" t="str">
        <f>IF(OR(Begegnungen!$C$3=C15,Begegnungen!$C$4=C15,Begegnungen!$C$5=C15,Begegnungen!$C$6=C15,Begegnungen!$C$7=C15,Begegnungen!$C$8=C15,Begegnungen!$C$9=C15),Begegnungen!$E$13,IF(OR(Begegnungen!$E$3=C15,Begegnungen!$E$4=C15,Begegnungen!$E$5=C15,Begegnungen!$E$6=C15,Begegnungen!$E$7=C15,Begegnungen!$E$8=C15,Begegnungen!$E$9=C15),Begegnungen!$C$13,""))</f>
        <v/>
      </c>
      <c r="E15" s="66" t="str">
        <f>IF(OR(Begegnungen!$I$3=C15,Begegnungen!$I$4=C15,Begegnungen!$I$5=C15,Begegnungen!$I$6=C15,Begegnungen!$I$7=C15,Begegnungen!$I$8=C15,Begegnungen!$I$9=C15),Begegnungen!$K$13,IF(OR(Begegnungen!$K$3=C15,Begegnungen!$K$4=C15,Begegnungen!$K$5=C15,Begegnungen!$K$6=C15,Begegnungen!$K$7=C15,Begegnungen!$K$8=C15,Begegnungen!$K$9=C15),Begegnungen!$I$13,""))</f>
        <v/>
      </c>
      <c r="F15" s="66" t="str">
        <f>IF(OR(Begegnungen!$C$19=C15,Begegnungen!$C$20=C15,Begegnungen!$C$21=C15,Begegnungen!$C$22=C15,Begegnungen!$C$23=C15,Begegnungen!$C$24=C15,Begegnungen!$C$25=C15),Begegnungen!$E$29,IF(OR(Begegnungen!$E$19=C15,Begegnungen!$E$20=C15,Begegnungen!$E$21=C15,Begegnungen!$E$22=C15,Begegnungen!$E$23=C15,Begegnungen!$E$24=C15,Begegnungen!$E$25=C15),Begegnungen!$C$29,""))</f>
        <v/>
      </c>
      <c r="G15" s="66" t="str">
        <f>IF(OR(Begegnungen!$I$19=C15,Begegnungen!$I$20=C15,Begegnungen!$I$21=C15,Begegnungen!$I$22=C15,Begegnungen!$I$23=C15,Begegnungen!$I$24=C15,Begegnungen!$I$25=C15),Begegnungen!$K$29,IF(OR(Begegnungen!$K$19=C15,Begegnungen!$K$20=C15,Begegnungen!$K$21=C15,Begegnungen!$K$22=C15,Begegnungen!$K$23=C15,Begegnungen!$K$24=C15,Begegnungen!$K$25=C15),Begegnungen!$I$29,""))</f>
        <v/>
      </c>
      <c r="H15" s="66" t="str">
        <f>IF(OR(Begegnungen!$C$35=C15,Begegnungen!$C$36=C15,Begegnungen!$C$37=C15,Begegnungen!$C$38=C15,Begegnungen!$C$39=C15,Begegnungen!$C$40=C15,Begegnungen!$C$41=C15),Begegnungen!$E$46,IF(OR(Begegnungen!$E$35=C15,Begegnungen!$E$36=C15,Begegnungen!$E$37=C15,Begegnungen!$E$38=C15,Begegnungen!$E$39=C15,Begegnungen!$E$40=C15,Begegnungen!$E$41=C15),Begegnungen!$C$46,""))</f>
        <v/>
      </c>
      <c r="I15" s="66" t="str">
        <f>IF(OR(Begegnungen!$I$35=C15,Begegnungen!$I$36=C15,Begegnungen!$I$37=C15,Begegnungen!$I$38=C15,Begegnungen!$I$39=C15,Begegnungen!$I$40=C15,Begegnungen!$I$41=C15),Begegnungen!$K$46,IF(OR(Begegnungen!$K$35=C15,Begegnungen!$K$36=C15,Begegnungen!$K$37=C15,Begegnungen!$K$38=C15,Begegnungen!$K$39=C15,Begegnungen!$K$40=C15,Begegnungen!$K$41=C15),Begegnungen!$I$46,""))</f>
        <v/>
      </c>
      <c r="J15" s="136">
        <f>IF(OR(Begegnungen!$C$52=C15,Begegnungen!$C$53=C15,Begegnungen!$C$54=C15,Begegnungen!$C$55=C15,Begegnungen!$C$56=C15,Begegnungen!$C$57=C15,Begegnungen!$C$58=C15),Begegnungen!$E$62,IF(OR(Begegnungen!$E$52=C15,Begegnungen!$E$53=C15,Begegnungen!$E$54=C15,Begegnungen!$E$55=C15,Begegnungen!$E$56=C15,Begegnungen!$E$57=C15,Begegnungen!$E$58=C15),Begegnungen!$C$62,""))</f>
        <v>3</v>
      </c>
      <c r="K15" s="66">
        <f>IF(OR(Begegnungen!$I$52=C15,Begegnungen!$I$53=C15,Begegnungen!$I$54=C15,Begegnungen!$I$55=C15,Begegnungen!$I$56=C15,Begegnungen!$I$57=C15,Begegnungen!$I$58=C15),Begegnungen!$K$62,IF(OR(Begegnungen!$K$52=C15,Begegnungen!$K$53=C15,Begegnungen!$K$54=C15,Begegnungen!$K$55=C15,Begegnungen!$K$56=C15,Begegnungen!$K$57=C15,Begegnungen!$K$58=C15),Begegnungen!$I$62,""))</f>
        <v>4</v>
      </c>
      <c r="L15" s="136" t="str">
        <f>IF(OR(Begegnungen!$C77=C15,Begegnungen!$C$69=C15,Begegnungen!$C$70=C15,Begegnungen!$C$71=C15,Begegnungen!$C$72=C15,Begegnungen!$C$73=C15,Begegnungen!$C$74=C15),Begegnungen!$E$78,IF(OR(Begegnungen!$E$68=C15,Begegnungen!$E$69=C15,Begegnungen!$E$70=C15,Begegnungen!$E$71=C15,Begegnungen!$E$72=C15,Begegnungen!$E$73=C15,Begegnungen!$E$74=C15),Begegnungen!$C$78,""))</f>
        <v/>
      </c>
      <c r="M15" s="66">
        <f>IF(OR(Begegnungen!$I77=C15,Begegnungen!$I$69=C15,Begegnungen!$I$70=C15,Begegnungen!$I$71=C15,Begegnungen!$I$72=C15,Begegnungen!$I$73=C15,Begegnungen!$I$74=C15),Begegnungen!$K$78,IF(OR(Begegnungen!$K$68=C15,Begegnungen!$K$69=C15,Begegnungen!$K$70=C15,Begegnungen!$K$71=C15,Begegnungen!$K$72=C15,Begegnungen!$K$73=C15,Begegnungen!$K$74=C15),Begegnungen!$I$78,""))</f>
        <v>1</v>
      </c>
      <c r="N15" s="66">
        <f>IF(OR(Begegnungen!$C94=C15,Begegnungen!$C$85=C15,Begegnungen!$C$86=C15,Begegnungen!$C$87=C15,Begegnungen!$C$88=C15,Begegnungen!$C$89=C15,Begegnungen!$C$90=C15),Begegnungen!$E$95,IF(OR(Begegnungen!$E$84=C15,Begegnungen!$E$85=C15,Begegnungen!$E$86=C15,Begegnungen!$E$87=C15,Begegnungen!$E$88=C15,Begegnungen!$E$89=C15,Begegnungen!$E$90=C15),Begegnungen!$C$95,""))</f>
        <v>3</v>
      </c>
      <c r="O15" s="66">
        <f>IF(OR(Begegnungen!$I94=C15,Begegnungen!$I$85=C15,Begegnungen!$I$86=C15,Begegnungen!$I$87=C15,Begegnungen!$I$88=C15,Begegnungen!$I$89=C15,Begegnungen!$I$90=C15),Begegnungen!$K$95,IF(OR(Begegnungen!$K$84=C15,Begegnungen!$K$85=C15,Begegnungen!$K$86=C15,Begegnungen!$K$87=C15,Begegnungen!$K$88=C15,Begegnungen!$K$89=C15,Begegnungen!$K$90=C15),Begegnungen!$I$95,""))</f>
        <v>2</v>
      </c>
      <c r="P15" s="66">
        <f>IF(OR(Begegnungen!$C110=C15,Begegnungen!$C$102=C15,Begegnungen!$C$103=C15,Begegnungen!$C$104=C15,Begegnungen!$C$105=C15,Begegnungen!$C$106=C15,Begegnungen!$C$107=C15),Begegnungen!$E$111,IF(OR(Begegnungen!$E$101=C15,Begegnungen!$E$102=C15,Begegnungen!$E$103=C15,Begegnungen!$E$104=C15,Begegnungen!$E$105=C15,Begegnungen!$E$106=C15,Begegnungen!$E$107=C15),Begegnungen!$C$111,""))</f>
        <v>3</v>
      </c>
      <c r="Q15" s="66">
        <f>IF(OR(Begegnungen!$I110=C15,Begegnungen!$I$102=C15,Begegnungen!$I$103=C15,Begegnungen!$I$104=C15,Begegnungen!$I$105=C15,Begegnungen!$I$106=C15,Begegnungen!$I$107=C15),Begegnungen!$K$111,IF(OR(Begegnungen!$K$101=C15,Begegnungen!$K$102=C15,Begegnungen!$K$103=C15,Begegnungen!$K$104=C15,Begegnungen!$K$105=C15,Begegnungen!$K$106=C15,Begegnungen!$K$107=C15),Begegnungen!$I$111,""))</f>
        <v>3</v>
      </c>
      <c r="R15" s="136">
        <f>IF(OR(Begegnungen!$C126=C15,Begegnungen!$C$118=C15,Begegnungen!$C$119=C15,Begegnungen!$C$120=C15,Begegnungen!$C$121=C15,Begegnungen!$C$122=C15,Begegnungen!$C$123=C15),Begegnungen!$E$127,IF(OR(Begegnungen!$E$117=C15,Begegnungen!$E$118=C15,Begegnungen!$E$119=C15,Begegnungen!$E$120=C15,Begegnungen!$E$121=C15,Begegnungen!$E$122=C15,Begegnungen!$E$123=C15),Begegnungen!$C$127,""))</f>
        <v>4</v>
      </c>
      <c r="S15" s="66">
        <f>IF(OR(Begegnungen!$I$117=C15,Begegnungen!$I$118=C15,Begegnungen!$I$119=C15,Begegnungen!$I$120=C15,Begegnungen!$I$121=C15,Begegnungen!$I$122=C15,Begegnungen!$I$123=C15),Begegnungen!$K$127,IF(OR(Begegnungen!$K$117=C15,Begegnungen!$K$118=C15,Begegnungen!$K$119=C15,Begegnungen!$K$120=C15,Begegnungen!$K$121=C15,Begegnungen!$K$122=C15,Begegnungen!$K$123=C15),Begegnungen!$I$127,""))</f>
        <v>3</v>
      </c>
      <c r="T15" s="66">
        <f>IF(OR(Begegnungen!$C142=C15,Begegnungen!$C$134=C15,Begegnungen!$C$135=C15,Begegnungen!$C$136=C15,Begegnungen!$C$137=C15,Begegnungen!$C$138=C15,Begegnungen!$C$139=C15),Begegnungen!$E$143,IF(OR(Begegnungen!$E$133=C15,Begegnungen!$E$134=C15,Begegnungen!$E$135=C15,Begegnungen!$E$136=C15,Begegnungen!$E$137=C15,Begegnungen!$E$138=C15,Begegnungen!$E$139=C15),Begegnungen!$C$143,""))</f>
        <v>6</v>
      </c>
      <c r="U15" s="66">
        <f>IF(OR(Begegnungen!$I142=C15,Begegnungen!$I$134=C15,Begegnungen!$I$135=C15,Begegnungen!$I$136=C15,Begegnungen!$I$137=C15,Begegnungen!$I$138=C15,Begegnungen!$I$139=C15),Begegnungen!$K$143,IF(OR(Begegnungen!$K$133=C15,Begegnungen!$K$134=C15,Begegnungen!$K$135=C15,Begegnungen!$K$136=C15,Begegnungen!$K$137=C15,Begegnungen!$K$138=C15,Begegnungen!$K$139=C15),Begegnungen!$I$143,""))</f>
        <v>1</v>
      </c>
      <c r="V15" s="66">
        <f>IF(OR(Begegnungen!$C158=C15,Begegnungen!$C$150=C15,Begegnungen!$C$151=C15,Begegnungen!$C$152=C15,Begegnungen!$C$153=C15,Begegnungen!$C$154=C15,Begegnungen!$C$155=C15),Begegnungen!$E$159,IF(OR(Begegnungen!$E$149=C15,Begegnungen!$E$150=C15,Begegnungen!$E$151=C15,Begegnungen!$E$152=C15,Begegnungen!$E$153=C15,Begegnungen!$E$154=C15,Begegnungen!$E$155=C15),Begegnungen!$C$159,""))</f>
        <v>4</v>
      </c>
      <c r="W15" s="66" t="str">
        <f>IF(OR(Begegnungen!$I158=C15,Begegnungen!$I$150=C15,Begegnungen!$I$151=C15,Begegnungen!$I$152=C15,Begegnungen!$I$153=C15,Begegnungen!$I$154=C15,Begegnungen!$I$155=C15),Begegnungen!$K$159,IF(OR(Begegnungen!$K$149=C15,Begegnungen!$K$150=C15,Begegnungen!$K$151=C15,Begegnungen!$K$152=C15,Begegnungen!$K$153=C15,Begegnungen!$K$154=C15,Begegnungen!$K$155=C15),Begegnungen!$I$159,""))</f>
        <v/>
      </c>
      <c r="X15" s="66">
        <f>IF(OR(Begegnungen!$C174=C15,Begegnungen!$C$166=C15,Begegnungen!$C$167=C15,Begegnungen!$C$168=C15,Begegnungen!$C$169=C15,Begegnungen!$C$170=C15,Begegnungen!$C$171=C15),Begegnungen!$E$175,IF(OR(Begegnungen!$E$165=C15,Begegnungen!$E$166=C15,Begegnungen!$E$167=C15,Begegnungen!$E$168=C15,Begegnungen!$E$169=C15,Begegnungen!$E$170=C15,Begegnungen!$E$171=C15),Begegnungen!$C$175,""))</f>
        <v>3</v>
      </c>
      <c r="Y15" s="66">
        <f>IF(OR(Begegnungen!$I174=C15,Begegnungen!$I$166=C15,Begegnungen!$I$167=C15,Begegnungen!$I$168=C15,Begegnungen!$I$169=C15,Begegnungen!$I$170=C15,Begegnungen!$I$171=C15),Begegnungen!$K$175,IF(OR(Begegnungen!$K$165=C15,Begegnungen!$K$166=C15,Begegnungen!$K$167=C15,Begegnungen!$K$168=C15,Begegnungen!$K$169=C15,Begegnungen!$K$170=C15,Begegnungen!$K$171=C15),Begegnungen!$I$175,""))</f>
        <v>0</v>
      </c>
      <c r="Z15" s="66" t="str">
        <f>IF(OR(Begegnungen!$C190=C15,Begegnungen!$C$182=C15,Begegnungen!$C$183=C15,Begegnungen!$C$184=C15,Begegnungen!$C$185=C15,Begegnungen!$C$186=C15,Begegnungen!$C$187=C15),Begegnungen!$E$191,IF(OR(Begegnungen!$E$181=C15,Begegnungen!$E$182=C15,Begegnungen!$E$183=C15,Begegnungen!$E$184=C15,Begegnungen!$E$185=C15,Begegnungen!$E$186=C15,Begegnungen!$E$187=C15),Begegnungen!$C$191,""))</f>
        <v/>
      </c>
      <c r="AA15" s="66" t="str">
        <f>IF(OR(Begegnungen!$I190=C15,Begegnungen!$I$182=C15,Begegnungen!$I$183=C15,Begegnungen!$I$184=C15,Begegnungen!$I$185=C15,Begegnungen!$I$186=C15,Begegnungen!$I$187=C15),Begegnungen!$K$191,IF(OR(Begegnungen!$K$181=C15,Begegnungen!$K$182=C15,Begegnungen!$K$183=C15,Begegnungen!$K$184=C15,Begegnungen!$K$185=C15,Begegnungen!$K$186=C15,Begegnungen!$K$187=C15),Begegnungen!$I$191,""))</f>
        <v/>
      </c>
      <c r="AB15" s="66">
        <f>IF(OR(Begegnungen!$C206=C15,Begegnungen!$C$198=C15,Begegnungen!$C$199=C15,Begegnungen!$C$200=C15,Begegnungen!$C$201=C15,Begegnungen!$C$202=C15,Begegnungen!$C$203=C15),Begegnungen!$E$207,IF(OR(Begegnungen!$E$197=C15,Begegnungen!$E$198=C15,Begegnungen!$E$199=C15,Begegnungen!$E$200=C15,Begegnungen!$E$201=C15,Begegnungen!$E$202=C15,Begegnungen!$E$203=C15),Begegnungen!$C$207,""))</f>
        <v>1</v>
      </c>
      <c r="AC15" s="66">
        <f>IF(OR(Begegnungen!$I206=C15,Begegnungen!$I$198=C15,Begegnungen!$I$199=C15,Begegnungen!$I$200=C15,Begegnungen!$I$201=C15,Begegnungen!$I$202=C15,Begegnungen!$I$203=C15),Begegnungen!$K$207,IF(OR(Begegnungen!$K$197=C15,Begegnungen!$K$198=C15,Begegnungen!$K$199=C15,Begegnungen!$K$200=C15,Begegnungen!$K$201=C15,Begegnungen!$K$202=C15,Begegnungen!$K$203=C15),Begegnungen!$I$207,""))</f>
        <v>5</v>
      </c>
      <c r="AD15" s="66">
        <f>IF(OR(Begegnungen!$C222=C15,Begegnungen!$C$214=C15,Begegnungen!$C$215=C15,Begegnungen!$C$216=C15,Begegnungen!$C$217=C15,Begegnungen!$C$218=C15,Begegnungen!$C$219=C15),Begegnungen!$E$223,IF(OR(Begegnungen!$E$213=C15,Begegnungen!$E$214=C15,Begegnungen!$E$215=C15,Begegnungen!$E$216=C15,Begegnungen!$E$217=C15,Begegnungen!$E$218=C15,Begegnungen!$E$219=C15),Begegnungen!$C$223,""))</f>
        <v>5</v>
      </c>
      <c r="AE15" s="66">
        <f>IF(OR(Begegnungen!$I222=C15,Begegnungen!$I$214=C15,Begegnungen!$I$215=C15,Begegnungen!$I$216=C15,Begegnungen!$I$217=C15,Begegnungen!$I$218=C15,Begegnungen!$I$219=C15),Begegnungen!$K$223,IF(OR(Begegnungen!$K$213=C15,Begegnungen!$K$214=C15,Begegnungen!$K$215=C15,Begegnungen!$K$216=C15,Begegnungen!$K$217=C15,Begegnungen!$K$218=C15,Begegnungen!$K$219=C15),Begegnungen!$I$223,""))</f>
        <v>4</v>
      </c>
      <c r="AF15" s="136">
        <f>IF(OR(Begegnungen!$C238=C15,Begegnungen!$C$230=C15,Begegnungen!$C$231=C15,Begegnungen!$C$232=C15,Begegnungen!$C$233=C15,Begegnungen!$C$234=C15,Begegnungen!$C$235=C15),Begegnungen!$E$239,IF(OR(Begegnungen!$E$229=C15,Begegnungen!$E$230=C15,Begegnungen!$E$231=C15,Begegnungen!$E$232=C15,Begegnungen!$E$233=C15,Begegnungen!$E$234=C15,Begegnungen!$E$235=C15),Begegnungen!$C$239,""))</f>
        <v>0</v>
      </c>
      <c r="AG15" s="66" t="str">
        <f>IF(OR(Begegnungen!$I238=C15,Begegnungen!$I$230=C15,Begegnungen!$I$231=C15,Begegnungen!$I$232=C15,Begegnungen!$I$233=C15,Begegnungen!$I$234=C15,Begegnungen!$I$235=C15),Begegnungen!$K$239,IF(OR(Begegnungen!$K$229=C15,Begegnungen!$K$230=C15,Begegnungen!$K$231=C15,Begegnungen!$K$232=C15,Begegnungen!$K$233=C15,Begegnungen!$K$234=C15,Begegnungen!$K$235=C15),Begegnungen!$I$239,""))</f>
        <v/>
      </c>
      <c r="AH15" s="66">
        <f>IF(OR(Begegnungen!$C254=C15,Begegnungen!$C$246=C15,Begegnungen!$C$247=C15,Begegnungen!$C$248=C15,Begegnungen!$C$249=C15,Begegnungen!$C$250=C15,Begegnungen!$C$251=C15),Begegnungen!$E$255,IF(OR(Begegnungen!$E$245=C15,Begegnungen!$E$246=C15,Begegnungen!$E$247=C15,Begegnungen!$E$248=C15,Begegnungen!$E$249=C15,Begegnungen!$E$250=C15,Begegnungen!$E$251=C15),Begegnungen!$C$255,""))</f>
        <v>2</v>
      </c>
      <c r="AI15" s="66">
        <f>IF(OR(Begegnungen!$I254=C15,Begegnungen!$I$246=C15,Begegnungen!$I$247=C15,Begegnungen!$I$248=C15,Begegnungen!$I$249=C15,Begegnungen!$I$250=C15,Begegnungen!$I$251=C15),Begegnungen!$K$255,IF(OR(Begegnungen!$K$245=C15,Begegnungen!$K$246=C15,Begegnungen!$K$247=C15,Begegnungen!$K$248=C15,Begegnungen!$K$249=C15,Begegnungen!$K$250=C15,Begegnungen!$K$251=C15),Begegnungen!$I$255,""))</f>
        <v>2</v>
      </c>
      <c r="AJ15" s="66" t="str">
        <f>IF(OR(Begegnungen!$C270=C15,Begegnungen!$C$262=C15,Begegnungen!$C$263=C15,Begegnungen!$C$264=C15,Begegnungen!$C$265=C15,Begegnungen!$C$266=C15,Begegnungen!$C$267=C15),Begegnungen!$E$271,IF(OR(Begegnungen!$E$261=C15,Begegnungen!$E$262=C15,Begegnungen!$E$263=C15,Begegnungen!$E$264=C15,Begegnungen!$E$265=C15,Begegnungen!$E$266=C15,Begegnungen!$E$267=C15),Begegnungen!$C$271,""))</f>
        <v/>
      </c>
      <c r="AK15" s="66" t="str">
        <f>IF(OR(Begegnungen!$I270=C15,Begegnungen!$I$262=C15,Begegnungen!$I$263=C15,Begegnungen!$I$264=C15,Begegnungen!$I$265=C15,Begegnungen!$I$266=C15,Begegnungen!$I$267=C15),Begegnungen!$K$271,IF(OR(Begegnungen!$K$261=C15,Begegnungen!$K$262=C15,Begegnungen!$K$263=C15,Begegnungen!$K$264=C15,Begegnungen!$K$265=C15,Begegnungen!$K$266=C15,Begegnungen!$K$267=C15),Begegnungen!$I$271,""))</f>
        <v/>
      </c>
      <c r="AL15" s="66" t="str">
        <f>IF(OR(Begegnungen!$C286=C15,Begegnungen!$C$278=C15,Begegnungen!$C$279=C15,Begegnungen!$C$280=C15,Begegnungen!$C$281=C15,Begegnungen!$C$282=C15,Begegnungen!$C$283=C15),Begegnungen!$E$287,IF(OR(Begegnungen!$E$277=C15,Begegnungen!$E$278=C15,Begegnungen!$E$279=C15,Begegnungen!$E$280=C15,Begegnungen!$E$281=C15,Begegnungen!$E$282=C15,Begegnungen!$E$283=C15),Begegnungen!$C$287,""))</f>
        <v/>
      </c>
      <c r="AM15" s="136" t="str">
        <f>IF(OR(Begegnungen!$I286=C15,Begegnungen!$I$278=C15,Begegnungen!$I$279=C15,Begegnungen!$I$280=C15,Begegnungen!$I$281=C15,Begegnungen!$I$282=C15,Begegnungen!$I$283=C15),Begegnungen!$K$287,IF(OR(Begegnungen!$K$277=C15,Begegnungen!$K$278=C15,Begegnungen!$K$279=C15,Begegnungen!$K$280=C15,Begegnungen!$K$281=C15,Begegnungen!$K$282=C15,Begegnungen!$K$283=C15),Begegnungen!$I$287,""))</f>
        <v/>
      </c>
      <c r="AN15" s="66" t="str">
        <f>IF(OR(Begegnungen!$C302=C15,Begegnungen!$C$294=C15,Begegnungen!$C$295=C15,Begegnungen!$C$296=C15,Begegnungen!$C$297=C15,Begegnungen!$C$298=C15,Begegnungen!$C$299=C15),Begegnungen!$E$303,IF(OR(Begegnungen!$E$293=C15,Begegnungen!$E$294=C15,Begegnungen!$E$295=C15,Begegnungen!$E$296=C15,Begegnungen!$E$297=C15,Begegnungen!$E$298=C15,Begegnungen!$E$299=C15),Begegnungen!$C$303,""))</f>
        <v/>
      </c>
      <c r="AO15" s="136" t="str">
        <f>IF(OR(Begegnungen!$I302=C15,Begegnungen!$I$294=C15,Begegnungen!$I$295=C15,Begegnungen!$I$296=C15,Begegnungen!$I$297=C15,Begegnungen!$I$298=C15,Begegnungen!$I$299=C15),Begegnungen!$K$303,IF(OR(Begegnungen!$K$293=C15,Begegnungen!$K$294=C15,Begegnungen!$K$295=C15,Begegnungen!$K$296=C15,Begegnungen!$K$297=C15,Begegnungen!$K$298=C15,Begegnungen!$K$299=C15),Begegnungen!$I$303,""))</f>
        <v/>
      </c>
      <c r="AP15" s="136" t="str">
        <f>IF(OR(Begegnungen!$C318=C15,Begegnungen!$C$310=C15,Begegnungen!$C$311=C15,Begegnungen!$C$312=C15,Begegnungen!$C$313=C15,Begegnungen!$C$314=C15,Begegnungen!$C$315=C15),Begegnungen!$E$319,IF(OR(Begegnungen!$E$309=C15,Begegnungen!$E$310=C15,Begegnungen!$E$311=C15,Begegnungen!$E$312=C15,Begegnungen!$E$313=C15,Begegnungen!$E$314=C15,Begegnungen!$E$315=C15),Begegnungen!$C$319,""))</f>
        <v/>
      </c>
      <c r="AQ15" s="66" t="str">
        <f>IF(OR(Begegnungen!$I318=C15,Begegnungen!$I$310=C15,Begegnungen!$I$311=C15,Begegnungen!$I$312=C15,Begegnungen!$I$313=C15,Begegnungen!$I$314=C15,Begegnungen!$I$315=C15),Begegnungen!$K$319,IF(OR(Begegnungen!$K$309=C15,Begegnungen!$K$310=C15,Begegnungen!$K$311=C15,Begegnungen!$K$312=C15,Begegnungen!$K$313=C15,Begegnungen!$K$314=C15,Begegnungen!$K$315=C15),Begegnungen!$I$319,""))</f>
        <v/>
      </c>
      <c r="AR15" s="25">
        <f t="shared" si="0"/>
        <v>59</v>
      </c>
      <c r="AS15" s="139">
        <f>Spiele!AS15</f>
        <v>21</v>
      </c>
      <c r="AT15" s="140">
        <f t="shared" si="1"/>
        <v>2.8095238095238093</v>
      </c>
    </row>
    <row r="16" spans="2:46" x14ac:dyDescent="0.25">
      <c r="B16" s="3">
        <v>11</v>
      </c>
      <c r="C16" s="65" t="s">
        <v>13</v>
      </c>
      <c r="D16" s="66">
        <f>IF(OR(Begegnungen!$C$3=C16,Begegnungen!$C$4=C16,Begegnungen!$C$5=C16,Begegnungen!$C$6=C16,Begegnungen!$C$7=C16,Begegnungen!$C$8=C16,Begegnungen!$C$9=C16),Begegnungen!$E$13,IF(OR(Begegnungen!$E$3=C16,Begegnungen!$E$4=C16,Begegnungen!$E$5=C16,Begegnungen!$E$6=C16,Begegnungen!$E$7=C16,Begegnungen!$E$8=C16,Begegnungen!$E$9=C16),Begegnungen!$C$13,""))</f>
        <v>2</v>
      </c>
      <c r="E16" s="66">
        <f>IF(OR(Begegnungen!$I$3=C16,Begegnungen!$I$4=C16,Begegnungen!$I$5=C16,Begegnungen!$I$6=C16,Begegnungen!$I$7=C16,Begegnungen!$I$8=C16,Begegnungen!$I$9=C16),Begegnungen!$K$13,IF(OR(Begegnungen!$K$3=C16,Begegnungen!$K$4=C16,Begegnungen!$K$5=C16,Begegnungen!$K$6=C16,Begegnungen!$K$7=C16,Begegnungen!$K$8=C16,Begegnungen!$K$9=C16),Begegnungen!$I$13,""))</f>
        <v>1</v>
      </c>
      <c r="F16" s="66">
        <f>IF(OR(Begegnungen!$C$19=C16,Begegnungen!$C$20=C16,Begegnungen!$C$21=C16,Begegnungen!$C$22=C16,Begegnungen!$C$23=C16,Begegnungen!$C$24=C16,Begegnungen!$C$25=C16),Begegnungen!$E$29,IF(OR(Begegnungen!$E$19=C16,Begegnungen!$E$20=C16,Begegnungen!$E$21=C16,Begegnungen!$E$22=C16,Begegnungen!$E$23=C16,Begegnungen!$E$24=C16,Begegnungen!$E$25=C16),Begegnungen!$C$29,""))</f>
        <v>4</v>
      </c>
      <c r="G16" s="66">
        <f>IF(OR(Begegnungen!$I$19=C16,Begegnungen!$I$20=C16,Begegnungen!$I$21=C16,Begegnungen!$I$22=C16,Begegnungen!$I$23=C16,Begegnungen!$I$24=C16,Begegnungen!$I$25=C16),Begegnungen!$K$29,IF(OR(Begegnungen!$K$19=C16,Begegnungen!$K$20=C16,Begegnungen!$K$21=C16,Begegnungen!$K$22=C16,Begegnungen!$K$23=C16,Begegnungen!$K$24=C16,Begegnungen!$K$25=C16),Begegnungen!$I$29,""))</f>
        <v>2</v>
      </c>
      <c r="H16" s="66">
        <f>IF(OR(Begegnungen!$C$35=C16,Begegnungen!$C$36=C16,Begegnungen!$C$37=C16,Begegnungen!$C$38=C16,Begegnungen!$C$39=C16,Begegnungen!$C$40=C16,Begegnungen!$C$41=C16),Begegnungen!$E$46,IF(OR(Begegnungen!$E$35=C16,Begegnungen!$E$36=C16,Begegnungen!$E$37=C16,Begegnungen!$E$38=C16,Begegnungen!$E$39=C16,Begegnungen!$E$40=C16,Begegnungen!$E$41=C16),Begegnungen!$C$46,""))</f>
        <v>1</v>
      </c>
      <c r="I16" s="66">
        <f>IF(OR(Begegnungen!$I$35=C16,Begegnungen!$I$36=C16,Begegnungen!$I$37=C16,Begegnungen!$I$38=C16,Begegnungen!$I$39=C16,Begegnungen!$I$40=C16,Begegnungen!$I$41=C16),Begegnungen!$K$46,IF(OR(Begegnungen!$K$35=C16,Begegnungen!$K$36=C16,Begegnungen!$K$37=C16,Begegnungen!$K$38=C16,Begegnungen!$K$39=C16,Begegnungen!$K$40=C16,Begegnungen!$K$41=C16),Begegnungen!$I$46,""))</f>
        <v>3</v>
      </c>
      <c r="J16" s="136">
        <f>IF(OR(Begegnungen!$C$52=C16,Begegnungen!$C$53=C16,Begegnungen!$C$54=C16,Begegnungen!$C$55=C16,Begegnungen!$C$56=C16,Begegnungen!$C$57=C16,Begegnungen!$C$58=C16),Begegnungen!$E$62,IF(OR(Begegnungen!$E$52=C16,Begegnungen!$E$53=C16,Begegnungen!$E$54=C16,Begegnungen!$E$55=C16,Begegnungen!$E$56=C16,Begegnungen!$E$57=C16,Begegnungen!$E$58=C16),Begegnungen!$C$62,""))</f>
        <v>2</v>
      </c>
      <c r="K16" s="66">
        <f>IF(OR(Begegnungen!$I$52=C16,Begegnungen!$I$53=C16,Begegnungen!$I$54=C16,Begegnungen!$I$55=C16,Begegnungen!$I$56=C16,Begegnungen!$I$57=C16,Begegnungen!$I$58=C16),Begegnungen!$K$62,IF(OR(Begegnungen!$K$52=C16,Begegnungen!$K$53=C16,Begegnungen!$K$54=C16,Begegnungen!$K$55=C16,Begegnungen!$K$56=C16,Begegnungen!$K$57=C16,Begegnungen!$K$58=C16),Begegnungen!$I$62,""))</f>
        <v>1</v>
      </c>
      <c r="L16" s="136">
        <f>IF(OR(Begegnungen!$C78=C16,Begegnungen!$C$69=C16,Begegnungen!$C$70=C16,Begegnungen!$C$71=C16,Begegnungen!$C$72=C16,Begegnungen!$C$73=C16,Begegnungen!$C$74=C16),Begegnungen!$E$78,IF(OR(Begegnungen!$E$68=C16,Begegnungen!$E$69=C16,Begegnungen!$E$70=C16,Begegnungen!$E$71=C16,Begegnungen!$E$72=C16,Begegnungen!$E$73=C16,Begegnungen!$E$74=C16),Begegnungen!$C$78,""))</f>
        <v>4</v>
      </c>
      <c r="M16" s="66">
        <f>IF(OR(Begegnungen!$I78=C16,Begegnungen!$I$69=C16,Begegnungen!$I$70=C16,Begegnungen!$I$71=C16,Begegnungen!$I$72=C16,Begegnungen!$I$73=C16,Begegnungen!$I$74=C16),Begegnungen!$K$78,IF(OR(Begegnungen!$K$68=C16,Begegnungen!$K$69=C16,Begegnungen!$K$70=C16,Begegnungen!$K$71=C16,Begegnungen!$K$72=C16,Begegnungen!$K$73=C16,Begegnungen!$K$74=C16),Begegnungen!$I$78,""))</f>
        <v>1</v>
      </c>
      <c r="N16" s="66">
        <f>IF(OR(Begegnungen!$C95=C16,Begegnungen!$C$85=C16,Begegnungen!$C$86=C16,Begegnungen!$C$87=C16,Begegnungen!$C$88=C16,Begegnungen!$C$89=C16,Begegnungen!$C$90=C16),Begegnungen!$E$95,IF(OR(Begegnungen!$E$84=C16,Begegnungen!$E$85=C16,Begegnungen!$E$86=C16,Begegnungen!$E$87=C16,Begegnungen!$E$88=C16,Begegnungen!$E$89=C16,Begegnungen!$E$90=C16),Begegnungen!$C$95,""))</f>
        <v>1</v>
      </c>
      <c r="O16" s="66">
        <f>IF(OR(Begegnungen!$I95=C16,Begegnungen!$I$85=C16,Begegnungen!$I$86=C16,Begegnungen!$I$87=C16,Begegnungen!$I$88=C16,Begegnungen!$I$89=C16,Begegnungen!$I$90=C16),Begegnungen!$K$95,IF(OR(Begegnungen!$K$84=C16,Begegnungen!$K$85=C16,Begegnungen!$K$86=C16,Begegnungen!$K$87=C16,Begegnungen!$K$88=C16,Begegnungen!$K$89=C16,Begegnungen!$K$90=C16),Begegnungen!$I$95,""))</f>
        <v>2</v>
      </c>
      <c r="P16" s="66">
        <f>IF(OR(Begegnungen!$C111=C16,Begegnungen!$C$102=C16,Begegnungen!$C$103=C16,Begegnungen!$C$104=C16,Begegnungen!$C$105=C16,Begegnungen!$C$106=C16,Begegnungen!$C$107=C16),Begegnungen!$E$111,IF(OR(Begegnungen!$E$101=C16,Begegnungen!$E$102=C16,Begegnungen!$E$103=C16,Begegnungen!$E$104=C16,Begegnungen!$E$105=C16,Begegnungen!$E$106=C16,Begegnungen!$E$107=C16),Begegnungen!$C$111,""))</f>
        <v>3</v>
      </c>
      <c r="Q16" s="66">
        <f>IF(OR(Begegnungen!$I111=C16,Begegnungen!$I$102=C16,Begegnungen!$I$103=C16,Begegnungen!$I$104=C16,Begegnungen!$I$105=C16,Begegnungen!$I$106=C16,Begegnungen!$I$107=C16),Begegnungen!$K$111,IF(OR(Begegnungen!$K$101=C16,Begegnungen!$K$102=C16,Begegnungen!$K$103=C16,Begegnungen!$K$104=C16,Begegnungen!$K$105=C16,Begegnungen!$K$106=C16,Begegnungen!$K$107=C16),Begegnungen!$I$111,""))</f>
        <v>3</v>
      </c>
      <c r="R16" s="136">
        <f>IF(OR(Begegnungen!$C127=C16,Begegnungen!$C$118=C16,Begegnungen!$C$119=C16,Begegnungen!$C$120=C16,Begegnungen!$C$121=C16,Begegnungen!$C$122=C16,Begegnungen!$C$123=C16),Begegnungen!$E$127,IF(OR(Begegnungen!$E$117=C16,Begegnungen!$E$118=C16,Begegnungen!$E$119=C16,Begegnungen!$E$120=C16,Begegnungen!$E$121=C16,Begegnungen!$E$122=C16,Begegnungen!$E$123=C16),Begegnungen!$C$127,""))</f>
        <v>1</v>
      </c>
      <c r="S16" s="66">
        <f>IF(OR(Begegnungen!$I$117=C16,Begegnungen!$I$118=C16,Begegnungen!$I$119=C16,Begegnungen!$I$120=C16,Begegnungen!$I$121=C16,Begegnungen!$I$122=C16,Begegnungen!$I$123=C16),Begegnungen!$K$127,IF(OR(Begegnungen!$K$117=C16,Begegnungen!$K$118=C16,Begegnungen!$K$119=C16,Begegnungen!$K$120=C16,Begegnungen!$K$121=C16,Begegnungen!$K$122=C16,Begegnungen!$K$123=C16),Begegnungen!$I$127,""))</f>
        <v>3</v>
      </c>
      <c r="T16" s="66">
        <f>IF(OR(Begegnungen!$C143=C16,Begegnungen!$C$134=C16,Begegnungen!$C$135=C16,Begegnungen!$C$136=C16,Begegnungen!$C$137=C16,Begegnungen!$C$138=C16,Begegnungen!$C$139=C16),Begegnungen!$E$143,IF(OR(Begegnungen!$E$133=C16,Begegnungen!$E$134=C16,Begegnungen!$E$135=C16,Begegnungen!$E$136=C16,Begegnungen!$E$137=C16,Begegnungen!$E$138=C16,Begegnungen!$E$139=C16),Begegnungen!$C$143,""))</f>
        <v>6</v>
      </c>
      <c r="U16" s="66">
        <f>IF(OR(Begegnungen!$I143=C16,Begegnungen!$I$134=C16,Begegnungen!$I$135=C16,Begegnungen!$I$136=C16,Begegnungen!$I$137=C16,Begegnungen!$I$138=C16,Begegnungen!$I$139=C16),Begegnungen!$K$143,IF(OR(Begegnungen!$K$133=C16,Begegnungen!$K$134=C16,Begegnungen!$K$135=C16,Begegnungen!$K$136=C16,Begegnungen!$K$137=C16,Begegnungen!$K$138=C16,Begegnungen!$K$139=C16),Begegnungen!$I$143,""))</f>
        <v>1</v>
      </c>
      <c r="V16" s="66">
        <f>IF(OR(Begegnungen!$C159=C16,Begegnungen!$C$150=C16,Begegnungen!$C$151=C16,Begegnungen!$C$152=C16,Begegnungen!$C$153=C16,Begegnungen!$C$154=C16,Begegnungen!$C$155=C16),Begegnungen!$E$159,IF(OR(Begegnungen!$E$149=C16,Begegnungen!$E$150=C16,Begegnungen!$E$151=C16,Begegnungen!$E$152=C16,Begegnungen!$E$153=C16,Begegnungen!$E$154=C16,Begegnungen!$E$155=C16),Begegnungen!$C$159,""))</f>
        <v>4</v>
      </c>
      <c r="W16" s="66">
        <f>IF(OR(Begegnungen!$I159=C16,Begegnungen!$I$150=C16,Begegnungen!$I$151=C16,Begegnungen!$I$152=C16,Begegnungen!$I$153=C16,Begegnungen!$I$154=C16,Begegnungen!$I$155=C16),Begegnungen!$K$159,IF(OR(Begegnungen!$K$149=C16,Begegnungen!$K$150=C16,Begegnungen!$K$151=C16,Begegnungen!$K$152=C16,Begegnungen!$K$153=C16,Begegnungen!$K$154=C16,Begegnungen!$K$155=C16),Begegnungen!$I$159,""))</f>
        <v>2</v>
      </c>
      <c r="X16" s="66">
        <f>IF(OR(Begegnungen!$C175=C16,Begegnungen!$C$166=C16,Begegnungen!$C$167=C16,Begegnungen!$C$168=C16,Begegnungen!$C$169=C16,Begegnungen!$C$170=C16,Begegnungen!$C$171=C16),Begegnungen!$E$175,IF(OR(Begegnungen!$E$165=C16,Begegnungen!$E$166=C16,Begegnungen!$E$167=C16,Begegnungen!$E$168=C16,Begegnungen!$E$169=C16,Begegnungen!$E$170=C16,Begegnungen!$E$171=C16),Begegnungen!$C$175,""))</f>
        <v>3</v>
      </c>
      <c r="Y16" s="66">
        <f>IF(OR(Begegnungen!$I175=C16,Begegnungen!$I$166=C16,Begegnungen!$I$167=C16,Begegnungen!$I$168=C16,Begegnungen!$I$169=C16,Begegnungen!$I$170=C16,Begegnungen!$I$171=C16),Begegnungen!$K$175,IF(OR(Begegnungen!$K$165=C16,Begegnungen!$K$166=C16,Begegnungen!$K$167=C16,Begegnungen!$K$168=C16,Begegnungen!$K$169=C16,Begegnungen!$K$170=C16,Begegnungen!$K$171=C16),Begegnungen!$I$175,""))</f>
        <v>0</v>
      </c>
      <c r="Z16" s="66">
        <f>IF(OR(Begegnungen!$C191=C16,Begegnungen!$C$182=C16,Begegnungen!$C$183=C16,Begegnungen!$C$184=C16,Begegnungen!$C$185=C16,Begegnungen!$C$186=C16,Begegnungen!$C$187=C16),Begegnungen!$E$191,IF(OR(Begegnungen!$E$181=C16,Begegnungen!$E$182=C16,Begegnungen!$E$183=C16,Begegnungen!$E$184=C16,Begegnungen!$E$185=C16,Begegnungen!$E$186=C16,Begegnungen!$E$187=C16),Begegnungen!$C$191,""))</f>
        <v>7</v>
      </c>
      <c r="AA16" s="66">
        <f>IF(OR(Begegnungen!$I191=C16,Begegnungen!$I$182=C16,Begegnungen!$I$183=C16,Begegnungen!$I$184=C16,Begegnungen!$I$185=C16,Begegnungen!$I$186=C16,Begegnungen!$I$187=C16),Begegnungen!$K$191,IF(OR(Begegnungen!$K$181=C16,Begegnungen!$K$182=C16,Begegnungen!$K$183=C16,Begegnungen!$K$184=C16,Begegnungen!$K$185=C16,Begegnungen!$K$186=C16,Begegnungen!$K$187=C16),Begegnungen!$I$191,""))</f>
        <v>2</v>
      </c>
      <c r="AB16" s="66">
        <f>IF(OR(Begegnungen!$C207=C16,Begegnungen!$C$198=C16,Begegnungen!$C$199=C16,Begegnungen!$C$200=C16,Begegnungen!$C$201=C16,Begegnungen!$C$202=C16,Begegnungen!$C$203=C16),Begegnungen!$E$207,IF(OR(Begegnungen!$E$197=C16,Begegnungen!$E$198=C16,Begegnungen!$E$199=C16,Begegnungen!$E$200=C16,Begegnungen!$E$201=C16,Begegnungen!$E$202=C16,Begegnungen!$E$203=C16),Begegnungen!$C$207,""))</f>
        <v>3</v>
      </c>
      <c r="AC16" s="66">
        <f>IF(OR(Begegnungen!$I207=C16,Begegnungen!$I$198=C16,Begegnungen!$I$199=C16,Begegnungen!$I$200=C16,Begegnungen!$I$201=C16,Begegnungen!$I$202=C16,Begegnungen!$I$203=C16),Begegnungen!$K$207,IF(OR(Begegnungen!$K$197=C16,Begegnungen!$K$198=C16,Begegnungen!$K$199=C16,Begegnungen!$K$200=C16,Begegnungen!$K$201=C16,Begegnungen!$K$202=C16,Begegnungen!$K$203=C16),Begegnungen!$I$207,""))</f>
        <v>5</v>
      </c>
      <c r="AD16" s="66">
        <f>IF(OR(Begegnungen!$C223=C16,Begegnungen!$C$214=C16,Begegnungen!$C$215=C16,Begegnungen!$C$216=C16,Begegnungen!$C$217=C16,Begegnungen!$C$218=C16,Begegnungen!$C$219=C16),Begegnungen!$E$223,IF(OR(Begegnungen!$E$213=C16,Begegnungen!$E$214=C16,Begegnungen!$E$215=C16,Begegnungen!$E$216=C16,Begegnungen!$E$217=C16,Begegnungen!$E$218=C16,Begegnungen!$E$219=C16),Begegnungen!$C$223,""))</f>
        <v>3</v>
      </c>
      <c r="AE16" s="66">
        <f>IF(OR(Begegnungen!$I223=C16,Begegnungen!$I$214=C16,Begegnungen!$I$215=C16,Begegnungen!$I$216=C16,Begegnungen!$I$217=C16,Begegnungen!$I$218=C16,Begegnungen!$I$219=C16),Begegnungen!$K$223,IF(OR(Begegnungen!$K$213=C16,Begegnungen!$K$214=C16,Begegnungen!$K$215=C16,Begegnungen!$K$216=C16,Begegnungen!$K$217=C16,Begegnungen!$K$218=C16,Begegnungen!$K$219=C16),Begegnungen!$I$223,""))</f>
        <v>4</v>
      </c>
      <c r="AF16" s="136" t="str">
        <f>IF(OR(Begegnungen!$C239=C16,Begegnungen!$C$230=C16,Begegnungen!$C$231=C16,Begegnungen!$C$232=C16,Begegnungen!$C$233=C16,Begegnungen!$C$234=C16,Begegnungen!$C$235=C16),Begegnungen!$E$239,IF(OR(Begegnungen!$E$229=C16,Begegnungen!$E$230=C16,Begegnungen!$E$231=C16,Begegnungen!$E$232=C16,Begegnungen!$E$233=C16,Begegnungen!$E$234=C16,Begegnungen!$E$235=C16),Begegnungen!$C$239,""))</f>
        <v/>
      </c>
      <c r="AG16" s="66" t="str">
        <f>IF(OR(Begegnungen!$I239=C16,Begegnungen!$I$230=C16,Begegnungen!$I$231=C16,Begegnungen!$I$232=C16,Begegnungen!$I$233=C16,Begegnungen!$I$234=C16,Begegnungen!$I$235=C16),Begegnungen!$K$239,IF(OR(Begegnungen!$K$229=C16,Begegnungen!$K$230=C16,Begegnungen!$K$231=C16,Begegnungen!$K$232=C16,Begegnungen!$K$233=C16,Begegnungen!$K$234=C16,Begegnungen!$K$235=C16),Begegnungen!$I$239,""))</f>
        <v/>
      </c>
      <c r="AH16" s="66">
        <f>IF(OR(Begegnungen!$C255=C16,Begegnungen!$C$246=C16,Begegnungen!$C$247=C16,Begegnungen!$C$248=C16,Begegnungen!$C$249=C16,Begegnungen!$C$250=C16,Begegnungen!$C$251=C16),Begegnungen!$E$255,IF(OR(Begegnungen!$E$245=C16,Begegnungen!$E$246=C16,Begegnungen!$E$247=C16,Begegnungen!$E$248=C16,Begegnungen!$E$249=C16,Begegnungen!$E$250=C16,Begegnungen!$E$251=C16),Begegnungen!$C$255,""))</f>
        <v>4</v>
      </c>
      <c r="AI16" s="66">
        <f>IF(OR(Begegnungen!$I255=C16,Begegnungen!$I$246=C16,Begegnungen!$I$247=C16,Begegnungen!$I$248=C16,Begegnungen!$I$249=C16,Begegnungen!$I$250=C16,Begegnungen!$I$251=C16),Begegnungen!$K$255,IF(OR(Begegnungen!$K$245=C16,Begegnungen!$K$246=C16,Begegnungen!$K$247=C16,Begegnungen!$K$248=C16,Begegnungen!$K$249=C16,Begegnungen!$K$250=C16,Begegnungen!$K$251=C16),Begegnungen!$I$255,""))</f>
        <v>1</v>
      </c>
      <c r="AJ16" s="66">
        <f>IF(OR(Begegnungen!$C271=C16,Begegnungen!$C$262=C16,Begegnungen!$C$263=C16,Begegnungen!$C$264=C16,Begegnungen!$C$265=C16,Begegnungen!$C$266=C16,Begegnungen!$C$267=C16),Begegnungen!$E$271,IF(OR(Begegnungen!$E$261=C16,Begegnungen!$E$262=C16,Begegnungen!$E$263=C16,Begegnungen!$E$264=C16,Begegnungen!$E$265=C16,Begegnungen!$E$266=C16,Begegnungen!$E$267=C16),Begegnungen!$C$271,""))</f>
        <v>5</v>
      </c>
      <c r="AK16" s="66" t="str">
        <f>IF(OR(Begegnungen!$I271=C16,Begegnungen!$I$262=C16,Begegnungen!$I$263=C16,Begegnungen!$I$264=C16,Begegnungen!$I$265=C16,Begegnungen!$I$266=C16,Begegnungen!$I$267=C16),Begegnungen!$K$271,IF(OR(Begegnungen!$K$261=C16,Begegnungen!$K$262=C16,Begegnungen!$K$263=C16,Begegnungen!$K$264=C16,Begegnungen!$K$265=C16,Begegnungen!$K$266=C16,Begegnungen!$K$267=C16),Begegnungen!$I$271,""))</f>
        <v/>
      </c>
      <c r="AL16" s="66">
        <f>IF(OR(Begegnungen!$C287=C16,Begegnungen!$C$278=C16,Begegnungen!$C$279=C16,Begegnungen!$C$280=C16,Begegnungen!$C$281=C16,Begegnungen!$C$282=C16,Begegnungen!$C$283=C16),Begegnungen!$E$287,IF(OR(Begegnungen!$E$277=C16,Begegnungen!$E$278=C16,Begegnungen!$E$279=C16,Begegnungen!$E$280=C16,Begegnungen!$E$281=C16,Begegnungen!$E$282=C16,Begegnungen!$E$283=C16),Begegnungen!$C$287,""))</f>
        <v>3</v>
      </c>
      <c r="AM16" s="136">
        <f>IF(OR(Begegnungen!$I287=C16,Begegnungen!$I$278=C16,Begegnungen!$I$279=C16,Begegnungen!$I$280=C16,Begegnungen!$I$281=C16,Begegnungen!$I$282=C16,Begegnungen!$I$283=C16),Begegnungen!$K$287,IF(OR(Begegnungen!$K$277=C16,Begegnungen!$K$278=C16,Begegnungen!$K$279=C16,Begegnungen!$K$280=C16,Begegnungen!$K$281=C16,Begegnungen!$K$282=C16,Begegnungen!$K$283=C16),Begegnungen!$I$287,""))</f>
        <v>2</v>
      </c>
      <c r="AN16" s="66">
        <f>IF(OR(Begegnungen!$C303=C16,Begegnungen!$C$294=C16,Begegnungen!$C$295=C16,Begegnungen!$C$296=C16,Begegnungen!$C$297=C16,Begegnungen!$C$298=C16,Begegnungen!$C$299=C16),Begegnungen!$E$303,IF(OR(Begegnungen!$E$293=C16,Begegnungen!$E$294=C16,Begegnungen!$E$295=C16,Begegnungen!$E$296=C16,Begegnungen!$E$297=C16,Begegnungen!$E$298=C16,Begegnungen!$E$299=C16),Begegnungen!$C$303,""))</f>
        <v>0</v>
      </c>
      <c r="AO16" s="136">
        <f>IF(OR(Begegnungen!$I303=C16,Begegnungen!$I$294=C16,Begegnungen!$I$295=C16,Begegnungen!$I$296=C16,Begegnungen!$I$297=C16,Begegnungen!$I$298=C16,Begegnungen!$I$299=C16),Begegnungen!$K$303,IF(OR(Begegnungen!$K$293=C16,Begegnungen!$K$294=C16,Begegnungen!$K$295=C16,Begegnungen!$K$296=C16,Begegnungen!$K$297=C16,Begegnungen!$K$298=C16,Begegnungen!$K$299=C16),Begegnungen!$I$303,""))</f>
        <v>3</v>
      </c>
      <c r="AP16" s="136">
        <f>IF(OR(Begegnungen!$C319=C16,Begegnungen!$C$310=C16,Begegnungen!$C$311=C16,Begegnungen!$C$312=C16,Begegnungen!$C$313=C16,Begegnungen!$C$314=C16,Begegnungen!$C$315=C16),Begegnungen!$E$319,IF(OR(Begegnungen!$E$309=C16,Begegnungen!$E$310=C16,Begegnungen!$E$311=C16,Begegnungen!$E$312=C16,Begegnungen!$E$313=C16,Begegnungen!$E$314=C16,Begegnungen!$E$315=C16),Begegnungen!$C$319,""))</f>
        <v>7</v>
      </c>
      <c r="AQ16" s="66">
        <f>IF(OR(Begegnungen!$I319=C16,Begegnungen!$I$310=C16,Begegnungen!$I$311=C16,Begegnungen!$I$312=C16,Begegnungen!$I$313=C16,Begegnungen!$I$314=C16,Begegnungen!$I$315=C16),Begegnungen!$K$319,IF(OR(Begegnungen!$K$309=C16,Begegnungen!$K$310=C16,Begegnungen!$K$311=C16,Begegnungen!$K$312=C16,Begegnungen!$K$313=C16,Begegnungen!$K$314=C16,Begegnungen!$K$315=C16),Begegnungen!$I$319,""))</f>
        <v>1</v>
      </c>
      <c r="AR16" s="25">
        <f t="shared" si="0"/>
        <v>100</v>
      </c>
      <c r="AS16" s="139">
        <f>Spiele!AS16</f>
        <v>37</v>
      </c>
      <c r="AT16" s="140">
        <f t="shared" si="1"/>
        <v>2.7027027027027026</v>
      </c>
    </row>
    <row r="17" spans="2:46" x14ac:dyDescent="0.25">
      <c r="B17" s="3">
        <v>12</v>
      </c>
      <c r="C17" s="65" t="s">
        <v>15</v>
      </c>
      <c r="D17" s="66">
        <f>IF(OR(Begegnungen!$C$3=C17,Begegnungen!$C$4=C17,Begegnungen!$C$5=C17,Begegnungen!$C$6=C17,Begegnungen!$C$7=C17,Begegnungen!$C$8=C17,Begegnungen!$C$9=C17),Begegnungen!$E$13,IF(OR(Begegnungen!$E$3=C17,Begegnungen!$E$4=C17,Begegnungen!$E$5=C17,Begegnungen!$E$6=C17,Begegnungen!$E$7=C17,Begegnungen!$E$8=C17,Begegnungen!$E$9=C17),Begegnungen!$C$13,""))</f>
        <v>2</v>
      </c>
      <c r="E17" s="66">
        <f>IF(OR(Begegnungen!$I$3=C17,Begegnungen!$I$4=C17,Begegnungen!$I$5=C17,Begegnungen!$I$6=C17,Begegnungen!$I$7=C17,Begegnungen!$I$8=C17,Begegnungen!$I$9=C17),Begegnungen!$K$13,IF(OR(Begegnungen!$K$3=C17,Begegnungen!$K$4=C17,Begegnungen!$K$5=C17,Begegnungen!$K$6=C17,Begegnungen!$K$7=C17,Begegnungen!$K$8=C17,Begegnungen!$K$9=C17),Begegnungen!$I$13,""))</f>
        <v>0</v>
      </c>
      <c r="F17" s="66">
        <f>IF(OR(Begegnungen!$C$19=C17,Begegnungen!$C$20=C17,Begegnungen!$C$21=C17,Begegnungen!$C$22=C17,Begegnungen!$C$23=C17,Begegnungen!$C$24=C17,Begegnungen!$C$25=C17),Begegnungen!$E$29,IF(OR(Begegnungen!$E$19=C17,Begegnungen!$E$20=C17,Begegnungen!$E$21=C17,Begegnungen!$E$22=C17,Begegnungen!$E$23=C17,Begegnungen!$E$24=C17,Begegnungen!$E$25=C17),Begegnungen!$C$29,""))</f>
        <v>6</v>
      </c>
      <c r="G17" s="66">
        <f>IF(OR(Begegnungen!$I$19=C17,Begegnungen!$I$20=C17,Begegnungen!$I$21=C17,Begegnungen!$I$22=C17,Begegnungen!$I$23=C17,Begegnungen!$I$24=C17,Begegnungen!$I$25=C17),Begegnungen!$K$29,IF(OR(Begegnungen!$K$19=C17,Begegnungen!$K$20=C17,Begegnungen!$K$21=C17,Begegnungen!$K$22=C17,Begegnungen!$K$23=C17,Begegnungen!$K$24=C17,Begegnungen!$K$25=C17),Begegnungen!$I$29,""))</f>
        <v>3</v>
      </c>
      <c r="H17" s="66" t="str">
        <f>IF(OR(Begegnungen!$C$35=C17,Begegnungen!$C$36=C17,Begegnungen!$C$37=C17,Begegnungen!$C$38=C17,Begegnungen!$C$39=C17,Begegnungen!$C$40=C17,Begegnungen!$C$41=C17),Begegnungen!$E$46,IF(OR(Begegnungen!$E$35=C17,Begegnungen!$E$36=C17,Begegnungen!$E$37=C17,Begegnungen!$E$38=C17,Begegnungen!$E$39=C17,Begegnungen!$E$40=C17,Begegnungen!$E$41=C17),Begegnungen!$C$46,""))</f>
        <v/>
      </c>
      <c r="I17" s="66">
        <f>IF(OR(Begegnungen!$I$35=C17,Begegnungen!$I$36=C17,Begegnungen!$I$37=C17,Begegnungen!$I$38=C17,Begegnungen!$I$39=C17,Begegnungen!$I$40=C17,Begegnungen!$I$41=C17),Begegnungen!$K$46,IF(OR(Begegnungen!$K$35=C17,Begegnungen!$K$36=C17,Begegnungen!$K$37=C17,Begegnungen!$K$38=C17,Begegnungen!$K$39=C17,Begegnungen!$K$40=C17,Begegnungen!$K$41=C17),Begegnungen!$I$46,""))</f>
        <v>3</v>
      </c>
      <c r="J17" s="136">
        <f>IF(OR(Begegnungen!$C$52=C17,Begegnungen!$C$53=C17,Begegnungen!$C$54=C17,Begegnungen!$C$55=C17,Begegnungen!$C$56=C17,Begegnungen!$C$57=C17,Begegnungen!$C$58=C17),Begegnungen!$E$62,IF(OR(Begegnungen!$E$52=C17,Begegnungen!$E$53=C17,Begegnungen!$E$54=C17,Begegnungen!$E$55=C17,Begegnungen!$E$56=C17,Begegnungen!$E$57=C17,Begegnungen!$E$58=C17),Begegnungen!$C$62,""))</f>
        <v>2</v>
      </c>
      <c r="K17" s="66" t="str">
        <f>IF(OR(Begegnungen!$I$52=C17,Begegnungen!$I$53=C17,Begegnungen!$I$54=C17,Begegnungen!$I$55=C17,Begegnungen!$I$56=C17,Begegnungen!$I$57=C17,Begegnungen!$I$58=C17),Begegnungen!$K$62,IF(OR(Begegnungen!$K$52=C17,Begegnungen!$K$53=C17,Begegnungen!$K$54=C17,Begegnungen!$K$55=C17,Begegnungen!$K$56=C17,Begegnungen!$K$57=C17,Begegnungen!$K$58=C17),Begegnungen!$I$62,""))</f>
        <v/>
      </c>
      <c r="L17" s="136">
        <f>IF(OR(Begegnungen!$C79=C17,Begegnungen!$C$69=C17,Begegnungen!$C$70=C17,Begegnungen!$C$71=C17,Begegnungen!$C$72=C17,Begegnungen!$C$73=C17,Begegnungen!$C$74=C17),Begegnungen!$E$78,IF(OR(Begegnungen!$E$68=C17,Begegnungen!$E$69=C17,Begegnungen!$E$70=C17,Begegnungen!$E$71=C17,Begegnungen!$E$72=C17,Begegnungen!$E$73=C17,Begegnungen!$E$74=C17),Begegnungen!$C$78,""))</f>
        <v>3</v>
      </c>
      <c r="M17" s="66">
        <f>IF(OR(Begegnungen!$I79=C17,Begegnungen!$I$69=C17,Begegnungen!$I$70=C17,Begegnungen!$I$71=C17,Begegnungen!$I$72=C17,Begegnungen!$I$73=C17,Begegnungen!$I$74=C17),Begegnungen!$K$78,IF(OR(Begegnungen!$K$68=C17,Begegnungen!$K$69=C17,Begegnungen!$K$70=C17,Begegnungen!$K$71=C17,Begegnungen!$K$72=C17,Begegnungen!$K$73=C17,Begegnungen!$K$74=C17),Begegnungen!$I$78,""))</f>
        <v>0</v>
      </c>
      <c r="N17" s="66">
        <f>IF(OR(Begegnungen!$C96=C17,Begegnungen!$C$85=C17,Begegnungen!$C$86=C17,Begegnungen!$C$87=C17,Begegnungen!$C$88=C17,Begegnungen!$C$89=C17,Begegnungen!$C$90=C17),Begegnungen!$E$95,IF(OR(Begegnungen!$E$84=C17,Begegnungen!$E$85=C17,Begegnungen!$E$86=C17,Begegnungen!$E$87=C17,Begegnungen!$E$88=C17,Begegnungen!$E$89=C17,Begegnungen!$E$90=C17),Begegnungen!$C$95,""))</f>
        <v>3</v>
      </c>
      <c r="O17" s="66">
        <f>IF(OR(Begegnungen!$I96=C17,Begegnungen!$I$85=C17,Begegnungen!$I$86=C17,Begegnungen!$I$87=C17,Begegnungen!$I$88=C17,Begegnungen!$I$89=C17,Begegnungen!$I$90=C17),Begegnungen!$K$95,IF(OR(Begegnungen!$K$84=C17,Begegnungen!$K$85=C17,Begegnungen!$K$86=C17,Begegnungen!$K$87=C17,Begegnungen!$K$88=C17,Begegnungen!$K$89=C17,Begegnungen!$K$90=C17),Begegnungen!$I$95,""))</f>
        <v>1</v>
      </c>
      <c r="P17" s="66">
        <f>IF(OR(Begegnungen!$C112=C17,Begegnungen!$C$102=C17,Begegnungen!$C$103=C17,Begegnungen!$C$104=C17,Begegnungen!$C$105=C17,Begegnungen!$C$106=C17,Begegnungen!$C$107=C17),Begegnungen!$E$111,IF(OR(Begegnungen!$E$101=C17,Begegnungen!$E$102=C17,Begegnungen!$E$103=C17,Begegnungen!$E$104=C17,Begegnungen!$E$105=C17,Begegnungen!$E$106=C17,Begegnungen!$E$107=C17),Begegnungen!$C$111,""))</f>
        <v>2</v>
      </c>
      <c r="Q17" s="66">
        <f>IF(OR(Begegnungen!$I112=C17,Begegnungen!$I$102=C17,Begegnungen!$I$103=C17,Begegnungen!$I$104=C17,Begegnungen!$I$105=C17,Begegnungen!$I$106=C17,Begegnungen!$I$107=C17),Begegnungen!$K$111,IF(OR(Begegnungen!$K$101=C17,Begegnungen!$K$102=C17,Begegnungen!$K$103=C17,Begegnungen!$K$104=C17,Begegnungen!$K$105=C17,Begegnungen!$K$106=C17,Begegnungen!$K$107=C17),Begegnungen!$I$111,""))</f>
        <v>3</v>
      </c>
      <c r="R17" s="136">
        <f>IF(OR(Begegnungen!$C128=C17,Begegnungen!$C$118=C17,Begegnungen!$C$119=C17,Begegnungen!$C$120=C17,Begegnungen!$C$121=C17,Begegnungen!$C$122=C17,Begegnungen!$C$123=C17),Begegnungen!$E$127,IF(OR(Begegnungen!$E$117=C17,Begegnungen!$E$118=C17,Begegnungen!$E$119=C17,Begegnungen!$E$120=C17,Begegnungen!$E$121=C17,Begegnungen!$E$122=C17,Begegnungen!$E$123=C17),Begegnungen!$C$127,""))</f>
        <v>1</v>
      </c>
      <c r="S17" s="66">
        <f>IF(OR(Begegnungen!$I$117=C17,Begegnungen!$I$118=C17,Begegnungen!$I$119=C17,Begegnungen!$I$120=C17,Begegnungen!$I$121=C17,Begegnungen!$I$122=C17,Begegnungen!$I$123=C17),Begegnungen!$K$127,IF(OR(Begegnungen!$K$117=C17,Begegnungen!$K$118=C17,Begegnungen!$K$119=C17,Begegnungen!$K$120=C17,Begegnungen!$K$121=C17,Begegnungen!$K$122=C17,Begegnungen!$K$123=C17),Begegnungen!$I$127,""))</f>
        <v>4</v>
      </c>
      <c r="T17" s="66" t="str">
        <f>IF(OR(Begegnungen!$C144=C17,Begegnungen!$C$134=C17,Begegnungen!$C$135=C17,Begegnungen!$C$136=C17,Begegnungen!$C$137=C17,Begegnungen!$C$138=C17,Begegnungen!$C$139=C17),Begegnungen!$E$143,IF(OR(Begegnungen!$E$133=C17,Begegnungen!$E$134=C17,Begegnungen!$E$135=C17,Begegnungen!$E$136=C17,Begegnungen!$E$137=C17,Begegnungen!$E$138=C17,Begegnungen!$E$139=C17),Begegnungen!$C$143,""))</f>
        <v/>
      </c>
      <c r="U17" s="66">
        <f>IF(OR(Begegnungen!$I144=C17,Begegnungen!$I$134=C17,Begegnungen!$I$135=C17,Begegnungen!$I$136=C17,Begegnungen!$I$137=C17,Begegnungen!$I$138=C17,Begegnungen!$I$139=C17),Begegnungen!$K$143,IF(OR(Begegnungen!$K$133=C17,Begegnungen!$K$134=C17,Begegnungen!$K$135=C17,Begegnungen!$K$136=C17,Begegnungen!$K$137=C17,Begegnungen!$K$138=C17,Begegnungen!$K$139=C17),Begegnungen!$I$143,""))</f>
        <v>2</v>
      </c>
      <c r="V17" s="66">
        <f>IF(OR(Begegnungen!$C160=C17,Begegnungen!$C$150=C17,Begegnungen!$C$151=C17,Begegnungen!$C$152=C17,Begegnungen!$C$153=C17,Begegnungen!$C$154=C17,Begegnungen!$C$155=C17),Begegnungen!$E$159,IF(OR(Begegnungen!$E$149=C17,Begegnungen!$E$150=C17,Begegnungen!$E$151=C17,Begegnungen!$E$152=C17,Begegnungen!$E$153=C17,Begegnungen!$E$154=C17,Begegnungen!$E$155=C17),Begegnungen!$C$159,""))</f>
        <v>0</v>
      </c>
      <c r="W17" s="66" t="str">
        <f>IF(OR(Begegnungen!$I160=C17,Begegnungen!$I$150=C17,Begegnungen!$I$151=C17,Begegnungen!$I$152=C17,Begegnungen!$I$153=C17,Begegnungen!$I$154=C17,Begegnungen!$I$155=C17),Begegnungen!$K$159,IF(OR(Begegnungen!$K$149=C17,Begegnungen!$K$150=C17,Begegnungen!$K$151=C17,Begegnungen!$K$152=C17,Begegnungen!$K$153=C17,Begegnungen!$K$154=C17,Begegnungen!$K$155=C17),Begegnungen!$I$159,""))</f>
        <v/>
      </c>
      <c r="X17" s="66" t="str">
        <f>IF(OR(Begegnungen!$C176=C17,Begegnungen!$C$166=C17,Begegnungen!$C$167=C17,Begegnungen!$C$168=C17,Begegnungen!$C$169=C17,Begegnungen!$C$170=C17,Begegnungen!$C$171=C17),Begegnungen!$E$175,IF(OR(Begegnungen!$E$165=C17,Begegnungen!$E$166=C17,Begegnungen!$E$167=C17,Begegnungen!$E$168=C17,Begegnungen!$E$169=C17,Begegnungen!$E$170=C17,Begegnungen!$E$171=C17),Begegnungen!$C$175,""))</f>
        <v/>
      </c>
      <c r="Y17" s="66">
        <f>IF(OR(Begegnungen!$I176=C17,Begegnungen!$I$166=C17,Begegnungen!$I$167=C17,Begegnungen!$I$168=C17,Begegnungen!$I$169=C17,Begegnungen!$I$170=C17,Begegnungen!$I$171=C17),Begegnungen!$K$175,IF(OR(Begegnungen!$K$165=C17,Begegnungen!$K$166=C17,Begegnungen!$K$167=C17,Begegnungen!$K$168=C17,Begegnungen!$K$169=C17,Begegnungen!$K$170=C17,Begegnungen!$K$171=C17),Begegnungen!$I$175,""))</f>
        <v>0</v>
      </c>
      <c r="Z17" s="66" t="str">
        <f>IF(OR(Begegnungen!$C192=C17,Begegnungen!$C$182=C17,Begegnungen!$C$183=C17,Begegnungen!$C$184=C17,Begegnungen!$C$185=C17,Begegnungen!$C$186=C17,Begegnungen!$C$187=C17),Begegnungen!$E$191,IF(OR(Begegnungen!$E$181=C17,Begegnungen!$E$182=C17,Begegnungen!$E$183=C17,Begegnungen!$E$184=C17,Begegnungen!$E$185=C17,Begegnungen!$E$186=C17,Begegnungen!$E$187=C17),Begegnungen!$C$191,""))</f>
        <v/>
      </c>
      <c r="AA17" s="66">
        <f>IF(OR(Begegnungen!$I192=C17,Begegnungen!$I$182=C17,Begegnungen!$I$183=C17,Begegnungen!$I$184=C17,Begegnungen!$I$185=C17,Begegnungen!$I$186=C17,Begegnungen!$I$187=C17),Begegnungen!$K$191,IF(OR(Begegnungen!$K$181=C17,Begegnungen!$K$182=C17,Begegnungen!$K$183=C17,Begegnungen!$K$184=C17,Begegnungen!$K$185=C17,Begegnungen!$K$186=C17,Begegnungen!$K$187=C17),Begegnungen!$I$191,""))</f>
        <v>8</v>
      </c>
      <c r="AB17" s="66">
        <f>IF(OR(Begegnungen!$C208=C17,Begegnungen!$C$198=C17,Begegnungen!$C$199=C17,Begegnungen!$C$200=C17,Begegnungen!$C$201=C17,Begegnungen!$C$202=C17,Begegnungen!$C$203=C17),Begegnungen!$E$207,IF(OR(Begegnungen!$E$197=C17,Begegnungen!$E$198=C17,Begegnungen!$E$199=C17,Begegnungen!$E$200=C17,Begegnungen!$E$201=C17,Begegnungen!$E$202=C17,Begegnungen!$E$203=C17),Begegnungen!$C$207,""))</f>
        <v>3</v>
      </c>
      <c r="AC17" s="66">
        <f>IF(OR(Begegnungen!$I208=C17,Begegnungen!$I$198=C17,Begegnungen!$I$199=C17,Begegnungen!$I$200=C17,Begegnungen!$I$201=C17,Begegnungen!$I$202=C17,Begegnungen!$I$203=C17),Begegnungen!$K$207,IF(OR(Begegnungen!$K$197=C17,Begegnungen!$K$198=C17,Begegnungen!$K$199=C17,Begegnungen!$K$200=C17,Begegnungen!$K$201=C17,Begegnungen!$K$202=C17,Begegnungen!$K$203=C17),Begegnungen!$I$207,""))</f>
        <v>2</v>
      </c>
      <c r="AD17" s="66" t="str">
        <f>IF(OR(Begegnungen!$C224=C17,Begegnungen!$C$214=C17,Begegnungen!$C$215=C17,Begegnungen!$C$216=C17,Begegnungen!$C$217=C17,Begegnungen!$C$218=C17,Begegnungen!$C$219=C17),Begegnungen!$E$223,IF(OR(Begegnungen!$E$213=C17,Begegnungen!$E$214=C17,Begegnungen!$E$215=C17,Begegnungen!$E$216=C17,Begegnungen!$E$217=C17,Begegnungen!$E$218=C17,Begegnungen!$E$219=C17),Begegnungen!$C$223,""))</f>
        <v/>
      </c>
      <c r="AE17" s="66" t="str">
        <f>IF(OR(Begegnungen!$I224=C17,Begegnungen!$I$214=C17,Begegnungen!$I$215=C17,Begegnungen!$I$216=C17,Begegnungen!$I$217=C17,Begegnungen!$I$218=C17,Begegnungen!$I$219=C17),Begegnungen!$K$223,IF(OR(Begegnungen!$K$213=C17,Begegnungen!$K$214=C17,Begegnungen!$K$215=C17,Begegnungen!$K$216=C17,Begegnungen!$K$217=C17,Begegnungen!$K$218=C17,Begegnungen!$K$219=C17),Begegnungen!$I$223,""))</f>
        <v/>
      </c>
      <c r="AF17" s="136">
        <f>IF(OR(Begegnungen!$C240=C17,Begegnungen!$C$230=C17,Begegnungen!$C$231=C17,Begegnungen!$C$232=C17,Begegnungen!$C$233=C17,Begegnungen!$C$234=C17,Begegnungen!$C$235=C17),Begegnungen!$E$239,IF(OR(Begegnungen!$E$229=C17,Begegnungen!$E$230=C17,Begegnungen!$E$231=C17,Begegnungen!$E$232=C17,Begegnungen!$E$233=C17,Begegnungen!$E$234=C17,Begegnungen!$E$235=C17),Begegnungen!$C$239,""))</f>
        <v>4</v>
      </c>
      <c r="AG17" s="66">
        <f>IF(OR(Begegnungen!$I240=C17,Begegnungen!$I$230=C17,Begegnungen!$I$231=C17,Begegnungen!$I$232=C17,Begegnungen!$I$233=C17,Begegnungen!$I$234=C17,Begegnungen!$I$235=C17),Begegnungen!$K$239,IF(OR(Begegnungen!$K$229=C17,Begegnungen!$K$230=C17,Begegnungen!$K$231=C17,Begegnungen!$K$232=C17,Begegnungen!$K$233=C17,Begegnungen!$K$234=C17,Begegnungen!$K$235=C17),Begegnungen!$I$239,""))</f>
        <v>1</v>
      </c>
      <c r="AH17" s="66">
        <f>IF(OR(Begegnungen!$C256=C17,Begegnungen!$C$246=C17,Begegnungen!$C$247=C17,Begegnungen!$C$248=C17,Begegnungen!$C$249=C17,Begegnungen!$C$250=C17,Begegnungen!$C$251=C17),Begegnungen!$E$255,IF(OR(Begegnungen!$E$245=C17,Begegnungen!$E$246=C17,Begegnungen!$E$247=C17,Begegnungen!$E$248=C17,Begegnungen!$E$249=C17,Begegnungen!$E$250=C17,Begegnungen!$E$251=C17),Begegnungen!$C$255,""))</f>
        <v>4</v>
      </c>
      <c r="AI17" s="66" t="str">
        <f>IF(OR(Begegnungen!$I256=C17,Begegnungen!$I$246=C17,Begegnungen!$I$247=C17,Begegnungen!$I$248=C17,Begegnungen!$I$249=C17,Begegnungen!$I$250=C17,Begegnungen!$I$251=C17),Begegnungen!$K$255,IF(OR(Begegnungen!$K$245=C17,Begegnungen!$K$246=C17,Begegnungen!$K$247=C17,Begegnungen!$K$248=C17,Begegnungen!$K$249=C17,Begegnungen!$K$250=C17,Begegnungen!$K$251=C17),Begegnungen!$I$255,""))</f>
        <v/>
      </c>
      <c r="AJ17" s="66">
        <f>IF(OR(Begegnungen!$C272=C17,Begegnungen!$C$262=C17,Begegnungen!$C$263=C17,Begegnungen!$C$264=C17,Begegnungen!$C$265=C17,Begegnungen!$C$266=C17,Begegnungen!$C$267=C17),Begegnungen!$E$271,IF(OR(Begegnungen!$E$261=C17,Begegnungen!$E$262=C17,Begegnungen!$E$263=C17,Begegnungen!$E$264=C17,Begegnungen!$E$265=C17,Begegnungen!$E$266=C17,Begegnungen!$E$267=C17),Begegnungen!$C$271,""))</f>
        <v>3</v>
      </c>
      <c r="AK17" s="66">
        <f>IF(OR(Begegnungen!$I272=C17,Begegnungen!$I$262=C17,Begegnungen!$I$263=C17,Begegnungen!$I$264=C17,Begegnungen!$I$265=C17,Begegnungen!$I$266=C17,Begegnungen!$I$267=C17),Begegnungen!$K$271,IF(OR(Begegnungen!$K$261=C17,Begegnungen!$K$262=C17,Begegnungen!$K$263=C17,Begegnungen!$K$264=C17,Begegnungen!$K$265=C17,Begegnungen!$K$266=C17,Begegnungen!$K$267=C17),Begegnungen!$I$271,""))</f>
        <v>1</v>
      </c>
      <c r="AL17" s="66" t="str">
        <f>IF(OR(Begegnungen!$C288=C17,Begegnungen!$C$278=C17,Begegnungen!$C$279=C17,Begegnungen!$C$280=C17,Begegnungen!$C$281=C17,Begegnungen!$C$282=C17,Begegnungen!$C$283=C17),Begegnungen!$E$287,IF(OR(Begegnungen!$E$277=C17,Begegnungen!$E$278=C17,Begegnungen!$E$279=C17,Begegnungen!$E$280=C17,Begegnungen!$E$281=C17,Begegnungen!$E$282=C17,Begegnungen!$E$283=C17),Begegnungen!$C$287,""))</f>
        <v/>
      </c>
      <c r="AM17" s="136">
        <f>IF(OR(Begegnungen!$I288=C17,Begegnungen!$I$278=C17,Begegnungen!$I$279=C17,Begegnungen!$I$280=C17,Begegnungen!$I$281=C17,Begegnungen!$I$282=C17,Begegnungen!$I$283=C17),Begegnungen!$K$287,IF(OR(Begegnungen!$K$277=C17,Begegnungen!$K$278=C17,Begegnungen!$K$279=C17,Begegnungen!$K$280=C17,Begegnungen!$K$281=C17,Begegnungen!$K$282=C17,Begegnungen!$K$283=C17),Begegnungen!$I$287,""))</f>
        <v>3</v>
      </c>
      <c r="AN17" s="66">
        <f>IF(OR(Begegnungen!$C304=C17,Begegnungen!$C$294=C17,Begegnungen!$C$295=C17,Begegnungen!$C$296=C17,Begegnungen!$C$297=C17,Begegnungen!$C$298=C17,Begegnungen!$C$299=C17),Begegnungen!$E$303,IF(OR(Begegnungen!$E$293=C17,Begegnungen!$E$294=C17,Begegnungen!$E$295=C17,Begegnungen!$E$296=C17,Begegnungen!$E$297=C17,Begegnungen!$E$298=C17,Begegnungen!$E$299=C17),Begegnungen!$C$303,""))</f>
        <v>3</v>
      </c>
      <c r="AO17" s="136">
        <f>IF(OR(Begegnungen!$I304=C17,Begegnungen!$I$294=C17,Begegnungen!$I$295=C17,Begegnungen!$I$296=C17,Begegnungen!$I$297=C17,Begegnungen!$I$298=C17,Begegnungen!$I$299=C17),Begegnungen!$K$303,IF(OR(Begegnungen!$K$293=C17,Begegnungen!$K$294=C17,Begegnungen!$K$295=C17,Begegnungen!$K$296=C17,Begegnungen!$K$297=C17,Begegnungen!$K$298=C17,Begegnungen!$K$299=C17),Begegnungen!$I$303,""))</f>
        <v>3</v>
      </c>
      <c r="AP17" s="136">
        <f>IF(OR(Begegnungen!$C320=C17,Begegnungen!$C$310=C17,Begegnungen!$C$311=C17,Begegnungen!$C$312=C17,Begegnungen!$C$313=C17,Begegnungen!$C$314=C17,Begegnungen!$C$315=C17),Begegnungen!$E$319,IF(OR(Begegnungen!$E$309=C17,Begegnungen!$E$310=C17,Begegnungen!$E$311=C17,Begegnungen!$E$312=C17,Begegnungen!$E$313=C17,Begegnungen!$E$314=C17,Begegnungen!$E$315=C17),Begegnungen!$C$319,""))</f>
        <v>2</v>
      </c>
      <c r="AQ17" s="66" t="str">
        <f>IF(OR(Begegnungen!$I320=C17,Begegnungen!$I$310=C17,Begegnungen!$I$311=C17,Begegnungen!$I$312=C17,Begegnungen!$I$313=C17,Begegnungen!$I$314=C17,Begegnungen!$I$315=C17),Begegnungen!$K$319,IF(OR(Begegnungen!$K$309=C17,Begegnungen!$K$310=C17,Begegnungen!$K$311=C17,Begegnungen!$K$312=C17,Begegnungen!$K$313=C17,Begegnungen!$K$314=C17,Begegnungen!$K$315=C17),Begegnungen!$I$319,""))</f>
        <v/>
      </c>
      <c r="AR17" s="25">
        <f t="shared" si="0"/>
        <v>72</v>
      </c>
      <c r="AS17" s="139">
        <f>Spiele!AS17</f>
        <v>29</v>
      </c>
      <c r="AT17" s="140">
        <f t="shared" si="1"/>
        <v>2.4827586206896552</v>
      </c>
    </row>
    <row r="18" spans="2:46" x14ac:dyDescent="0.25">
      <c r="B18" s="3">
        <v>13</v>
      </c>
      <c r="C18" s="65" t="s">
        <v>12</v>
      </c>
      <c r="D18" s="66" t="str">
        <f>IF(OR(Begegnungen!$C$3=C18,Begegnungen!$C$4=C18,Begegnungen!$C$5=C18,Begegnungen!$C$6=C18,Begegnungen!$C$7=C18,Begegnungen!$C$8=C18,Begegnungen!$C$9=C18),Begegnungen!$E$13,IF(OR(Begegnungen!$E$3=C18,Begegnungen!$E$4=C18,Begegnungen!$E$5=C18,Begegnungen!$E$6=C18,Begegnungen!$E$7=C18,Begegnungen!$E$8=C18,Begegnungen!$E$9=C18),Begegnungen!$C$13,""))</f>
        <v/>
      </c>
      <c r="E18" s="66" t="str">
        <f>IF(OR(Begegnungen!$I$3=C18,Begegnungen!$I$4=C18,Begegnungen!$I$5=C18,Begegnungen!$I$6=C18,Begegnungen!$I$7=C18,Begegnungen!$I$8=C18,Begegnungen!$I$9=C18),Begegnungen!$K$13,IF(OR(Begegnungen!$K$3=C18,Begegnungen!$K$4=C18,Begegnungen!$K$5=C18,Begegnungen!$K$6=C18,Begegnungen!$K$7=C18,Begegnungen!$K$8=C18,Begegnungen!$K$9=C18),Begegnungen!$I$13,""))</f>
        <v/>
      </c>
      <c r="F18" s="66" t="str">
        <f>IF(OR(Begegnungen!$C$19=C18,Begegnungen!$C$20=C18,Begegnungen!$C$21=C18,Begegnungen!$C$22=C18,Begegnungen!$C$23=C18,Begegnungen!$C$24=C18,Begegnungen!$C$25=C18),Begegnungen!$E$29,IF(OR(Begegnungen!$E$19=C18,Begegnungen!$E$20=C18,Begegnungen!$E$21=C18,Begegnungen!$E$22=C18,Begegnungen!$E$23=C18,Begegnungen!$E$24=C18,Begegnungen!$E$25=C18),Begegnungen!$C$29,""))</f>
        <v/>
      </c>
      <c r="G18" s="66" t="str">
        <f>IF(OR(Begegnungen!$I$19=C18,Begegnungen!$I$20=C18,Begegnungen!$I$21=C18,Begegnungen!$I$22=C18,Begegnungen!$I$23=C18,Begegnungen!$I$24=C18,Begegnungen!$I$25=C18),Begegnungen!$K$29,IF(OR(Begegnungen!$K$19=C18,Begegnungen!$K$20=C18,Begegnungen!$K$21=C18,Begegnungen!$K$22=C18,Begegnungen!$K$23=C18,Begegnungen!$K$24=C18,Begegnungen!$K$25=C18),Begegnungen!$I$29,""))</f>
        <v/>
      </c>
      <c r="H18" s="66" t="str">
        <f>IF(OR(Begegnungen!$C$35=C18,Begegnungen!$C$36=C18,Begegnungen!$C$37=C18,Begegnungen!$C$38=C18,Begegnungen!$C$39=C18,Begegnungen!$C$40=C18,Begegnungen!$C$41=C18),Begegnungen!$E$46,IF(OR(Begegnungen!$E$35=C18,Begegnungen!$E$36=C18,Begegnungen!$E$37=C18,Begegnungen!$E$38=C18,Begegnungen!$E$39=C18,Begegnungen!$E$40=C18,Begegnungen!$E$41=C18),Begegnungen!$C$46,""))</f>
        <v/>
      </c>
      <c r="I18" s="66" t="str">
        <f>IF(OR(Begegnungen!$I$35=C18,Begegnungen!$I$36=C18,Begegnungen!$I$37=C18,Begegnungen!$I$38=C18,Begegnungen!$I$39=C18,Begegnungen!$I$40=C18,Begegnungen!$I$41=C18),Begegnungen!$K$46,IF(OR(Begegnungen!$K$35=C18,Begegnungen!$K$36=C18,Begegnungen!$K$37=C18,Begegnungen!$K$38=C18,Begegnungen!$K$39=C18,Begegnungen!$K$40=C18,Begegnungen!$K$41=C18),Begegnungen!$I$46,""))</f>
        <v/>
      </c>
      <c r="J18" s="136" t="str">
        <f>IF(OR(Begegnungen!$C$52=C18,Begegnungen!$C$53=C18,Begegnungen!$C$54=C18,Begegnungen!$C$55=C18,Begegnungen!$C$56=C18,Begegnungen!$C$57=C18,Begegnungen!$C$58=C18),Begegnungen!$E$62,IF(OR(Begegnungen!$E$52=C18,Begegnungen!$E$53=C18,Begegnungen!$E$54=C18,Begegnungen!$E$55=C18,Begegnungen!$E$56=C18,Begegnungen!$E$57=C18,Begegnungen!$E$58=C18),Begegnungen!$C$62,""))</f>
        <v/>
      </c>
      <c r="K18" s="66" t="str">
        <f>IF(OR(Begegnungen!$I$52=C18,Begegnungen!$I$53=C18,Begegnungen!$I$54=C18,Begegnungen!$I$55=C18,Begegnungen!$I$56=C18,Begegnungen!$I$57=C18,Begegnungen!$I$58=C18),Begegnungen!$K$62,IF(OR(Begegnungen!$K$52=C18,Begegnungen!$K$53=C18,Begegnungen!$K$54=C18,Begegnungen!$K$55=C18,Begegnungen!$K$56=C18,Begegnungen!$K$57=C18,Begegnungen!$K$58=C18),Begegnungen!$I$62,""))</f>
        <v/>
      </c>
      <c r="L18" s="136" t="str">
        <f>IF(OR(Begegnungen!$C80=C18,Begegnungen!$C$69=C18,Begegnungen!$C$70=C18,Begegnungen!$C$71=C18,Begegnungen!$C$72=C18,Begegnungen!$C$73=C18,Begegnungen!$C$74=C18),Begegnungen!$E$78,IF(OR(Begegnungen!$E$68=C18,Begegnungen!$E$69=C18,Begegnungen!$E$70=C18,Begegnungen!$E$71=C18,Begegnungen!$E$72=C18,Begegnungen!$E$73=C18,Begegnungen!$E$74=C18),Begegnungen!$C$78,""))</f>
        <v/>
      </c>
      <c r="M18" s="66" t="str">
        <f>IF(OR(Begegnungen!$I80=C18,Begegnungen!$I$69=C18,Begegnungen!$I$70=C18,Begegnungen!$I$71=C18,Begegnungen!$I$72=C18,Begegnungen!$I$73=C18,Begegnungen!$I$74=C18),Begegnungen!$K$78,IF(OR(Begegnungen!$K$68=C18,Begegnungen!$K$69=C18,Begegnungen!$K$70=C18,Begegnungen!$K$71=C18,Begegnungen!$K$72=C18,Begegnungen!$K$73=C18,Begegnungen!$K$74=C18),Begegnungen!$I$78,""))</f>
        <v/>
      </c>
      <c r="N18" s="66" t="str">
        <f>IF(OR(Begegnungen!$C97=C18,Begegnungen!$C$85=C18,Begegnungen!$C$86=C18,Begegnungen!$C$87=C18,Begegnungen!$C$88=C18,Begegnungen!$C$89=C18,Begegnungen!$C$90=C18),Begegnungen!$E$95,IF(OR(Begegnungen!$E$84=C18,Begegnungen!$E$85=C18,Begegnungen!$E$86=C18,Begegnungen!$E$87=C18,Begegnungen!$E$88=C18,Begegnungen!$E$89=C18,Begegnungen!$E$90=C18),Begegnungen!$C$95,""))</f>
        <v/>
      </c>
      <c r="O18" s="66" t="str">
        <f>IF(OR(Begegnungen!$I97=C18,Begegnungen!$I$85=C18,Begegnungen!$I$86=C18,Begegnungen!$I$87=C18,Begegnungen!$I$88=C18,Begegnungen!$I$89=C18,Begegnungen!$I$90=C18),Begegnungen!$K$95,IF(OR(Begegnungen!$K$84=C18,Begegnungen!$K$85=C18,Begegnungen!$K$86=C18,Begegnungen!$K$87=C18,Begegnungen!$K$88=C18,Begegnungen!$K$89=C18,Begegnungen!$K$90=C18),Begegnungen!$I$95,""))</f>
        <v/>
      </c>
      <c r="P18" s="66" t="str">
        <f>IF(OR(Begegnungen!$C113=C18,Begegnungen!$C$102=C18,Begegnungen!$C$103=C18,Begegnungen!$C$104=C18,Begegnungen!$C$105=C18,Begegnungen!$C$106=C18,Begegnungen!$C$107=C18),Begegnungen!$E$111,IF(OR(Begegnungen!$E$101=C18,Begegnungen!$E$102=C18,Begegnungen!$E$103=C18,Begegnungen!$E$104=C18,Begegnungen!$E$105=C18,Begegnungen!$E$106=C18,Begegnungen!$E$107=C18),Begegnungen!$C$111,""))</f>
        <v/>
      </c>
      <c r="Q18" s="66" t="str">
        <f>IF(OR(Begegnungen!$I113=C18,Begegnungen!$I$102=C18,Begegnungen!$I$103=C18,Begegnungen!$I$104=C18,Begegnungen!$I$105=C18,Begegnungen!$I$106=C18,Begegnungen!$I$107=C18),Begegnungen!$K$111,IF(OR(Begegnungen!$K$101=C18,Begegnungen!$K$102=C18,Begegnungen!$K$103=C18,Begegnungen!$K$104=C18,Begegnungen!$K$105=C18,Begegnungen!$K$106=C18,Begegnungen!$K$107=C18),Begegnungen!$I$111,""))</f>
        <v/>
      </c>
      <c r="R18" s="136" t="str">
        <f>IF(OR(Begegnungen!$C129=C18,Begegnungen!$C$118=C18,Begegnungen!$C$119=C18,Begegnungen!$C$120=C18,Begegnungen!$C$121=C18,Begegnungen!$C$122=C18,Begegnungen!$C$123=C18),Begegnungen!$E$127,IF(OR(Begegnungen!$E$117=C18,Begegnungen!$E$118=C18,Begegnungen!$E$119=C18,Begegnungen!$E$120=C18,Begegnungen!$E$121=C18,Begegnungen!$E$122=C18,Begegnungen!$E$123=C18),Begegnungen!$C$127,""))</f>
        <v/>
      </c>
      <c r="S18" s="66" t="str">
        <f>IF(OR(Begegnungen!$I$117=C18,Begegnungen!$I$118=C18,Begegnungen!$I$119=C18,Begegnungen!$I$120=C18,Begegnungen!$I$121=C18,Begegnungen!$I$122=C18,Begegnungen!$I$123=C18),Begegnungen!$K$127,IF(OR(Begegnungen!$K$117=C18,Begegnungen!$K$118=C18,Begegnungen!$K$119=C18,Begegnungen!$K$120=C18,Begegnungen!$K$121=C18,Begegnungen!$K$122=C18,Begegnungen!$K$123=C18),Begegnungen!$I$127,""))</f>
        <v/>
      </c>
      <c r="T18" s="66" t="str">
        <f>IF(OR(Begegnungen!$C145=C18,Begegnungen!$C$134=C18,Begegnungen!$C$135=C18,Begegnungen!$C$136=C18,Begegnungen!$C$137=C18,Begegnungen!$C$138=C18,Begegnungen!$C$139=C18),Begegnungen!$E$143,IF(OR(Begegnungen!$E$133=C18,Begegnungen!$E$134=C18,Begegnungen!$E$135=C18,Begegnungen!$E$136=C18,Begegnungen!$E$137=C18,Begegnungen!$E$138=C18,Begegnungen!$E$139=C18),Begegnungen!$C$143,""))</f>
        <v/>
      </c>
      <c r="U18" s="66" t="str">
        <f>IF(OR(Begegnungen!$I145=C18,Begegnungen!$I$134=C18,Begegnungen!$I$135=C18,Begegnungen!$I$136=C18,Begegnungen!$I$137=C18,Begegnungen!$I$138=C18,Begegnungen!$I$139=C18),Begegnungen!$K$143,IF(OR(Begegnungen!$K$133=C18,Begegnungen!$K$134=C18,Begegnungen!$K$135=C18,Begegnungen!$K$136=C18,Begegnungen!$K$137=C18,Begegnungen!$K$138=C18,Begegnungen!$K$139=C18),Begegnungen!$I$143,""))</f>
        <v/>
      </c>
      <c r="V18" s="66" t="str">
        <f>IF(OR(Begegnungen!$C161=C18,Begegnungen!$C$150=C18,Begegnungen!$C$151=C18,Begegnungen!$C$152=C18,Begegnungen!$C$153=C18,Begegnungen!$C$154=C18,Begegnungen!$C$155=C18),Begegnungen!$E$159,IF(OR(Begegnungen!$E$149=C18,Begegnungen!$E$150=C18,Begegnungen!$E$151=C18,Begegnungen!$E$152=C18,Begegnungen!$E$153=C18,Begegnungen!$E$154=C18,Begegnungen!$E$155=C18),Begegnungen!$C$159,""))</f>
        <v/>
      </c>
      <c r="W18" s="66" t="str">
        <f>IF(OR(Begegnungen!$I161=C18,Begegnungen!$I$150=C18,Begegnungen!$I$151=C18,Begegnungen!$I$152=C18,Begegnungen!$I$153=C18,Begegnungen!$I$154=C18,Begegnungen!$I$155=C18),Begegnungen!$K$159,IF(OR(Begegnungen!$K$149=C18,Begegnungen!$K$150=C18,Begegnungen!$K$151=C18,Begegnungen!$K$152=C18,Begegnungen!$K$153=C18,Begegnungen!$K$154=C18,Begegnungen!$K$155=C18),Begegnungen!$I$159,""))</f>
        <v/>
      </c>
      <c r="X18" s="66" t="str">
        <f>IF(OR(Begegnungen!$C177=C18,Begegnungen!$C$166=C18,Begegnungen!$C$167=C18,Begegnungen!$C$168=C18,Begegnungen!$C$169=C18,Begegnungen!$C$170=C18,Begegnungen!$C$171=C18),Begegnungen!$E$175,IF(OR(Begegnungen!$E$165=C18,Begegnungen!$E$166=C18,Begegnungen!$E$167=C18,Begegnungen!$E$168=C18,Begegnungen!$E$169=C18,Begegnungen!$E$170=C18,Begegnungen!$E$171=C18),Begegnungen!$C$175,""))</f>
        <v/>
      </c>
      <c r="Y18" s="66" t="str">
        <f>IF(OR(Begegnungen!$I177=C18,Begegnungen!$I$166=C18,Begegnungen!$I$167=C18,Begegnungen!$I$168=C18,Begegnungen!$I$169=C18,Begegnungen!$I$170=C18,Begegnungen!$I$171=C18),Begegnungen!$K$175,IF(OR(Begegnungen!$K$165=C18,Begegnungen!$K$166=C18,Begegnungen!$K$167=C18,Begegnungen!$K$168=C18,Begegnungen!$K$169=C18,Begegnungen!$K$170=C18,Begegnungen!$K$171=C18),Begegnungen!$I$175,""))</f>
        <v/>
      </c>
      <c r="Z18" s="66" t="str">
        <f>IF(OR(Begegnungen!$C193=C18,Begegnungen!$C$182=C18,Begegnungen!$C$183=C18,Begegnungen!$C$184=C18,Begegnungen!$C$185=C18,Begegnungen!$C$186=C18,Begegnungen!$C$187=C18),Begegnungen!$E$191,IF(OR(Begegnungen!$E$181=C18,Begegnungen!$E$182=C18,Begegnungen!$E$183=C18,Begegnungen!$E$184=C18,Begegnungen!$E$185=C18,Begegnungen!$E$186=C18,Begegnungen!$E$187=C18),Begegnungen!$C$191,""))</f>
        <v/>
      </c>
      <c r="AA18" s="66" t="str">
        <f>IF(OR(Begegnungen!$I193=C18,Begegnungen!$I$182=C18,Begegnungen!$I$183=C18,Begegnungen!$I$184=C18,Begegnungen!$I$185=C18,Begegnungen!$I$186=C18,Begegnungen!$I$187=C18),Begegnungen!$K$191,IF(OR(Begegnungen!$K$181=C18,Begegnungen!$K$182=C18,Begegnungen!$K$183=C18,Begegnungen!$K$184=C18,Begegnungen!$K$185=C18,Begegnungen!$K$186=C18,Begegnungen!$K$187=C18),Begegnungen!$I$191,""))</f>
        <v/>
      </c>
      <c r="AB18" s="66" t="str">
        <f>IF(OR(Begegnungen!$C209=C18,Begegnungen!$C$198=C18,Begegnungen!$C$199=C18,Begegnungen!$C$200=C18,Begegnungen!$C$201=C18,Begegnungen!$C$202=C18,Begegnungen!$C$203=C18),Begegnungen!$E$207,IF(OR(Begegnungen!$E$197=C18,Begegnungen!$E$198=C18,Begegnungen!$E$199=C18,Begegnungen!$E$200=C18,Begegnungen!$E$201=C18,Begegnungen!$E$202=C18,Begegnungen!$E$203=C18),Begegnungen!$C$207,""))</f>
        <v/>
      </c>
      <c r="AC18" s="66" t="str">
        <f>IF(OR(Begegnungen!$I209=C18,Begegnungen!$I$198=C18,Begegnungen!$I$199=C18,Begegnungen!$I$200=C18,Begegnungen!$I$201=C18,Begegnungen!$I$202=C18,Begegnungen!$I$203=C18),Begegnungen!$K$207,IF(OR(Begegnungen!$K$197=C18,Begegnungen!$K$198=C18,Begegnungen!$K$199=C18,Begegnungen!$K$200=C18,Begegnungen!$K$201=C18,Begegnungen!$K$202=C18,Begegnungen!$K$203=C18),Begegnungen!$I$207,""))</f>
        <v/>
      </c>
      <c r="AD18" s="66" t="str">
        <f>IF(OR(Begegnungen!$C225=C18,Begegnungen!$C$214=C18,Begegnungen!$C$215=C18,Begegnungen!$C$216=C18,Begegnungen!$C$217=C18,Begegnungen!$C$218=C18,Begegnungen!$C$219=C18),Begegnungen!$E$223,IF(OR(Begegnungen!$E$213=C18,Begegnungen!$E$214=C18,Begegnungen!$E$215=C18,Begegnungen!$E$216=C18,Begegnungen!$E$217=C18,Begegnungen!$E$218=C18,Begegnungen!$E$219=C18),Begegnungen!$C$223,""))</f>
        <v/>
      </c>
      <c r="AE18" s="66" t="str">
        <f>IF(OR(Begegnungen!$I225=C18,Begegnungen!$I$214=C18,Begegnungen!$I$215=C18,Begegnungen!$I$216=C18,Begegnungen!$I$217=C18,Begegnungen!$I$218=C18,Begegnungen!$I$219=C18),Begegnungen!$K$223,IF(OR(Begegnungen!$K$213=C18,Begegnungen!$K$214=C18,Begegnungen!$K$215=C18,Begegnungen!$K$216=C18,Begegnungen!$K$217=C18,Begegnungen!$K$218=C18,Begegnungen!$K$219=C18),Begegnungen!$I$223,""))</f>
        <v/>
      </c>
      <c r="AF18" s="136" t="str">
        <f>IF(OR(Begegnungen!$C241=C18,Begegnungen!$C$230=C18,Begegnungen!$C$231=C18,Begegnungen!$C$232=C18,Begegnungen!$C$233=C18,Begegnungen!$C$234=C18,Begegnungen!$C$235=C18),Begegnungen!$E$239,IF(OR(Begegnungen!$E$229=C18,Begegnungen!$E$230=C18,Begegnungen!$E$231=C18,Begegnungen!$E$232=C18,Begegnungen!$E$233=C18,Begegnungen!$E$234=C18,Begegnungen!$E$235=C18),Begegnungen!$C$239,""))</f>
        <v/>
      </c>
      <c r="AG18" s="66" t="str">
        <f>IF(OR(Begegnungen!$I241=C18,Begegnungen!$I$230=C18,Begegnungen!$I$231=C18,Begegnungen!$I$232=C18,Begegnungen!$I$233=C18,Begegnungen!$I$234=C18,Begegnungen!$I$235=C18),Begegnungen!$K$239,IF(OR(Begegnungen!$K$229=C18,Begegnungen!$K$230=C18,Begegnungen!$K$231=C18,Begegnungen!$K$232=C18,Begegnungen!$K$233=C18,Begegnungen!$K$234=C18,Begegnungen!$K$235=C18),Begegnungen!$I$239,""))</f>
        <v/>
      </c>
      <c r="AH18" s="66" t="str">
        <f>IF(OR(Begegnungen!$C257=C18,Begegnungen!$C$246=C18,Begegnungen!$C$247=C18,Begegnungen!$C$248=C18,Begegnungen!$C$249=C18,Begegnungen!$C$250=C18,Begegnungen!$C$251=C18),Begegnungen!$E$255,IF(OR(Begegnungen!$E$245=C18,Begegnungen!$E$246=C18,Begegnungen!$E$247=C18,Begegnungen!$E$248=C18,Begegnungen!$E$249=C18,Begegnungen!$E$250=C18,Begegnungen!$E$251=C18),Begegnungen!$C$255,""))</f>
        <v/>
      </c>
      <c r="AI18" s="66" t="str">
        <f>IF(OR(Begegnungen!$I257=C18,Begegnungen!$I$246=C18,Begegnungen!$I$247=C18,Begegnungen!$I$248=C18,Begegnungen!$I$249=C18,Begegnungen!$I$250=C18,Begegnungen!$I$251=C18),Begegnungen!$K$255,IF(OR(Begegnungen!$K$245=C18,Begegnungen!$K$246=C18,Begegnungen!$K$247=C18,Begegnungen!$K$248=C18,Begegnungen!$K$249=C18,Begegnungen!$K$250=C18,Begegnungen!$K$251=C18),Begegnungen!$I$255,""))</f>
        <v/>
      </c>
      <c r="AJ18" s="66" t="str">
        <f>IF(OR(Begegnungen!$C273=C18,Begegnungen!$C$262=C18,Begegnungen!$C$263=C18,Begegnungen!$C$264=C18,Begegnungen!$C$265=C18,Begegnungen!$C$266=C18,Begegnungen!$C$267=C18),Begegnungen!$E$271,IF(OR(Begegnungen!$E$261=C18,Begegnungen!$E$262=C18,Begegnungen!$E$263=C18,Begegnungen!$E$264=C18,Begegnungen!$E$265=C18,Begegnungen!$E$266=C18,Begegnungen!$E$267=C18),Begegnungen!$C$271,""))</f>
        <v/>
      </c>
      <c r="AK18" s="66" t="str">
        <f>IF(OR(Begegnungen!$I273=C18,Begegnungen!$I$262=C18,Begegnungen!$I$263=C18,Begegnungen!$I$264=C18,Begegnungen!$I$265=C18,Begegnungen!$I$266=C18,Begegnungen!$I$267=C18),Begegnungen!$K$271,IF(OR(Begegnungen!$K$261=C18,Begegnungen!$K$262=C18,Begegnungen!$K$263=C18,Begegnungen!$K$264=C18,Begegnungen!$K$265=C18,Begegnungen!$K$266=C18,Begegnungen!$K$267=C18),Begegnungen!$I$271,""))</f>
        <v/>
      </c>
      <c r="AL18" s="66" t="str">
        <f>IF(OR(Begegnungen!$C289=C18,Begegnungen!$C$278=C18,Begegnungen!$C$279=C18,Begegnungen!$C$280=C18,Begegnungen!$C$281=C18,Begegnungen!$C$282=C18,Begegnungen!$C$283=C18),Begegnungen!$E$287,IF(OR(Begegnungen!$E$277=C18,Begegnungen!$E$278=C18,Begegnungen!$E$279=C18,Begegnungen!$E$280=C18,Begegnungen!$E$281=C18,Begegnungen!$E$282=C18,Begegnungen!$E$283=C18),Begegnungen!$C$287,""))</f>
        <v/>
      </c>
      <c r="AM18" s="136" t="str">
        <f>IF(OR(Begegnungen!$I289=C18,Begegnungen!$I$278=C18,Begegnungen!$I$279=C18,Begegnungen!$I$280=C18,Begegnungen!$I$281=C18,Begegnungen!$I$282=C18,Begegnungen!$I$283=C18),Begegnungen!$K$287,IF(OR(Begegnungen!$K$277=C18,Begegnungen!$K$278=C18,Begegnungen!$K$279=C18,Begegnungen!$K$280=C18,Begegnungen!$K$281=C18,Begegnungen!$K$282=C18,Begegnungen!$K$283=C18),Begegnungen!$I$287,""))</f>
        <v/>
      </c>
      <c r="AN18" s="66" t="str">
        <f>IF(OR(Begegnungen!$C305=C18,Begegnungen!$C$294=C18,Begegnungen!$C$295=C18,Begegnungen!$C$296=C18,Begegnungen!$C$297=C18,Begegnungen!$C$298=C18,Begegnungen!$C$299=C18),Begegnungen!$E$303,IF(OR(Begegnungen!$E$293=C18,Begegnungen!$E$294=C18,Begegnungen!$E$295=C18,Begegnungen!$E$296=C18,Begegnungen!$E$297=C18,Begegnungen!$E$298=C18,Begegnungen!$E$299=C18),Begegnungen!$C$303,""))</f>
        <v/>
      </c>
      <c r="AO18" s="136" t="str">
        <f>IF(OR(Begegnungen!$I305=C18,Begegnungen!$I$294=C18,Begegnungen!$I$295=C18,Begegnungen!$I$296=C18,Begegnungen!$I$297=C18,Begegnungen!$I$298=C18,Begegnungen!$I$299=C18),Begegnungen!$K$303,IF(OR(Begegnungen!$K$293=C18,Begegnungen!$K$294=C18,Begegnungen!$K$295=C18,Begegnungen!$K$296=C18,Begegnungen!$K$297=C18,Begegnungen!$K$298=C18,Begegnungen!$K$299=C18),Begegnungen!$I$303,""))</f>
        <v/>
      </c>
      <c r="AP18" s="136" t="str">
        <f>IF(OR(Begegnungen!$C321=C18,Begegnungen!$C$310=C18,Begegnungen!$C$311=C18,Begegnungen!$C$312=C18,Begegnungen!$C$313=C18,Begegnungen!$C$314=C18,Begegnungen!$C$315=C18),Begegnungen!$E$319,IF(OR(Begegnungen!$E$309=C18,Begegnungen!$E$310=C18,Begegnungen!$E$311=C18,Begegnungen!$E$312=C18,Begegnungen!$E$313=C18,Begegnungen!$E$314=C18,Begegnungen!$E$315=C18),Begegnungen!$C$319,""))</f>
        <v/>
      </c>
      <c r="AQ18" s="66" t="str">
        <f>IF(OR(Begegnungen!$I321=C18,Begegnungen!$I$310=C18,Begegnungen!$I$311=C18,Begegnungen!$I$312=C18,Begegnungen!$I$313=C18,Begegnungen!$I$314=C18,Begegnungen!$I$315=C18),Begegnungen!$K$319,IF(OR(Begegnungen!$K$309=C18,Begegnungen!$K$310=C18,Begegnungen!$K$311=C18,Begegnungen!$K$312=C18,Begegnungen!$K$313=C18,Begegnungen!$K$314=C18,Begegnungen!$K$315=C18),Begegnungen!$I$319,""))</f>
        <v/>
      </c>
      <c r="AR18" s="25">
        <f t="shared" si="0"/>
        <v>0</v>
      </c>
      <c r="AS18" s="139">
        <f>Spiele!AS18</f>
        <v>0</v>
      </c>
      <c r="AT18" s="140" t="e">
        <f t="shared" si="1"/>
        <v>#DIV/0!</v>
      </c>
    </row>
    <row r="19" spans="2:46" x14ac:dyDescent="0.25">
      <c r="B19" s="3">
        <v>14</v>
      </c>
      <c r="C19" s="65" t="s">
        <v>27</v>
      </c>
      <c r="D19" s="66" t="str">
        <f>IF(OR(Begegnungen!$C$3=C19,Begegnungen!$C$4=C19,Begegnungen!$C$5=C19,Begegnungen!$C$6=C19,Begegnungen!$C$7=C19,Begegnungen!$C$8=C19,Begegnungen!$C$9=C19),Begegnungen!$E$13,IF(OR(Begegnungen!$E$3=C19,Begegnungen!$E$4=C19,Begegnungen!$E$5=C19,Begegnungen!$E$6=C19,Begegnungen!$E$7=C19,Begegnungen!$E$8=C19,Begegnungen!$E$9=C19),Begegnungen!$C$13,""))</f>
        <v/>
      </c>
      <c r="E19" s="66">
        <f>IF(OR(Begegnungen!$I$3=C19,Begegnungen!$I$4=C19,Begegnungen!$I$5=C19,Begegnungen!$I$6=C19,Begegnungen!$I$7=C19,Begegnungen!$I$8=C19,Begegnungen!$I$9=C19),Begegnungen!$K$13,IF(OR(Begegnungen!$K$3=C19,Begegnungen!$K$4=C19,Begegnungen!$K$5=C19,Begegnungen!$K$6=C19,Begegnungen!$K$7=C19,Begegnungen!$K$8=C19,Begegnungen!$K$9=C19),Begegnungen!$I$13,""))</f>
        <v>0</v>
      </c>
      <c r="F19" s="66" t="str">
        <f>IF(OR(Begegnungen!$C$19=C19,Begegnungen!$C$20=C19,Begegnungen!$C$21=C19,Begegnungen!$C$22=C19,Begegnungen!$C$23=C19,Begegnungen!$C$24=C19,Begegnungen!$C$25=C19),Begegnungen!$E$29,IF(OR(Begegnungen!$E$19=C19,Begegnungen!$E$20=C19,Begegnungen!$E$21=C19,Begegnungen!$E$22=C19,Begegnungen!$E$23=C19,Begegnungen!$E$24=C19,Begegnungen!$E$25=C19),Begegnungen!$C$29,""))</f>
        <v/>
      </c>
      <c r="G19" s="66" t="str">
        <f>IF(OR(Begegnungen!$I$19=C19,Begegnungen!$I$20=C19,Begegnungen!$I$21=C19,Begegnungen!$I$22=C19,Begegnungen!$I$23=C19,Begegnungen!$I$24=C19,Begegnungen!$I$25=C19),Begegnungen!$K$29,IF(OR(Begegnungen!$K$19=C19,Begegnungen!$K$20=C19,Begegnungen!$K$21=C19,Begegnungen!$K$22=C19,Begegnungen!$K$23=C19,Begegnungen!$K$24=C19,Begegnungen!$K$25=C19),Begegnungen!$I$29,""))</f>
        <v/>
      </c>
      <c r="H19" s="66">
        <f>IF(OR(Begegnungen!$C$35=C19,Begegnungen!$C$36=C19,Begegnungen!$C$37=C19,Begegnungen!$C$38=C19,Begegnungen!$C$39=C19,Begegnungen!$C$40=C19,Begegnungen!$C$41=C19),Begegnungen!$E$46,IF(OR(Begegnungen!$E$35=C19,Begegnungen!$E$36=C19,Begegnungen!$E$37=C19,Begegnungen!$E$38=C19,Begegnungen!$E$39=C19,Begegnungen!$E$40=C19,Begegnungen!$E$41=C19),Begegnungen!$C$46,""))</f>
        <v>6</v>
      </c>
      <c r="I19" s="66">
        <f>IF(OR(Begegnungen!$I$35=C19,Begegnungen!$I$36=C19,Begegnungen!$I$37=C19,Begegnungen!$I$38=C19,Begegnungen!$I$39=C19,Begegnungen!$I$40=C19,Begegnungen!$I$41=C19),Begegnungen!$K$46,IF(OR(Begegnungen!$K$35=C19,Begegnungen!$K$36=C19,Begegnungen!$K$37=C19,Begegnungen!$K$38=C19,Begegnungen!$K$39=C19,Begegnungen!$K$40=C19,Begegnungen!$K$41=C19),Begegnungen!$I$46,""))</f>
        <v>3</v>
      </c>
      <c r="J19" s="136">
        <f>IF(OR(Begegnungen!$C$52=C19,Begegnungen!$C$53=C19,Begegnungen!$C$54=C19,Begegnungen!$C$55=C19,Begegnungen!$C$56=C19,Begegnungen!$C$57=C19,Begegnungen!$C$58=C19),Begegnungen!$E$62,IF(OR(Begegnungen!$E$52=C19,Begegnungen!$E$53=C19,Begegnungen!$E$54=C19,Begegnungen!$E$55=C19,Begegnungen!$E$56=C19,Begegnungen!$E$57=C19,Begegnungen!$E$58=C19),Begegnungen!$C$62,""))</f>
        <v>2</v>
      </c>
      <c r="K19" s="66">
        <f>IF(OR(Begegnungen!$I$52=C19,Begegnungen!$I$53=C19,Begegnungen!$I$54=C19,Begegnungen!$I$55=C19,Begegnungen!$I$56=C19,Begegnungen!$I$57=C19,Begegnungen!$I$58=C19),Begegnungen!$K$62,IF(OR(Begegnungen!$K$52=C19,Begegnungen!$K$53=C19,Begegnungen!$K$54=C19,Begegnungen!$K$55=C19,Begegnungen!$K$56=C19,Begegnungen!$K$57=C19,Begegnungen!$K$58=C19),Begegnungen!$I$62,""))</f>
        <v>4</v>
      </c>
      <c r="L19" s="136" t="str">
        <f>IF(OR(Begegnungen!$C81=C19,Begegnungen!$C$69=C19,Begegnungen!$C$70=C19,Begegnungen!$C$71=C19,Begegnungen!$C$72=C19,Begegnungen!$C$73=C19,Begegnungen!$C$74=C19),Begegnungen!$E$78,IF(OR(Begegnungen!$E$68=C19,Begegnungen!$E$69=C19,Begegnungen!$E$70=C19,Begegnungen!$E$71=C19,Begegnungen!$E$72=C19,Begegnungen!$E$73=C19,Begegnungen!$E$74=C19),Begegnungen!$C$78,""))</f>
        <v/>
      </c>
      <c r="M19" s="66">
        <f>IF(OR(Begegnungen!$I81=C19,Begegnungen!$I$69=C19,Begegnungen!$I$70=C19,Begegnungen!$I$71=C19,Begegnungen!$I$72=C19,Begegnungen!$I$73=C19,Begegnungen!$I$74=C19),Begegnungen!$K$78,IF(OR(Begegnungen!$K$68=C19,Begegnungen!$K$69=C19,Begegnungen!$K$70=C19,Begegnungen!$K$71=C19,Begegnungen!$K$72=C19,Begegnungen!$K$73=C19,Begegnungen!$K$74=C19),Begegnungen!$I$78,""))</f>
        <v>0</v>
      </c>
      <c r="N19" s="66">
        <f>IF(OR(Begegnungen!$C98=C19,Begegnungen!$C$85=C19,Begegnungen!$C$86=C19,Begegnungen!$C$87=C19,Begegnungen!$C$88=C19,Begegnungen!$C$89=C19,Begegnungen!$C$90=C19),Begegnungen!$E$95,IF(OR(Begegnungen!$E$84=C19,Begegnungen!$E$85=C19,Begegnungen!$E$86=C19,Begegnungen!$E$87=C19,Begegnungen!$E$88=C19,Begegnungen!$E$89=C19,Begegnungen!$E$90=C19),Begegnungen!$C$95,""))</f>
        <v>3</v>
      </c>
      <c r="O19" s="66" t="str">
        <f>IF(OR(Begegnungen!$I98=C19,Begegnungen!$I$85=C19,Begegnungen!$I$86=C19,Begegnungen!$I$87=C19,Begegnungen!$I$88=C19,Begegnungen!$I$89=C19,Begegnungen!$I$90=C19),Begegnungen!$K$95,IF(OR(Begegnungen!$K$84=C19,Begegnungen!$K$85=C19,Begegnungen!$K$86=C19,Begegnungen!$K$87=C19,Begegnungen!$K$88=C19,Begegnungen!$K$89=C19,Begegnungen!$K$90=C19),Begegnungen!$I$95,""))</f>
        <v/>
      </c>
      <c r="P19" s="66">
        <f>IF(OR(Begegnungen!$C114=C19,Begegnungen!$C$102=C19,Begegnungen!$C$103=C19,Begegnungen!$C$104=C19,Begegnungen!$C$105=C19,Begegnungen!$C$106=C19,Begegnungen!$C$107=C19),Begegnungen!$E$111,IF(OR(Begegnungen!$E$101=C19,Begegnungen!$E$102=C19,Begegnungen!$E$103=C19,Begegnungen!$E$104=C19,Begegnungen!$E$105=C19,Begegnungen!$E$106=C19,Begegnungen!$E$107=C19),Begegnungen!$C$111,""))</f>
        <v>2</v>
      </c>
      <c r="Q19" s="66" t="str">
        <f>IF(OR(Begegnungen!$I114=C19,Begegnungen!$I$102=C19,Begegnungen!$I$103=C19,Begegnungen!$I$104=C19,Begegnungen!$I$105=C19,Begegnungen!$I$106=C19,Begegnungen!$I$107=C19),Begegnungen!$K$111,IF(OR(Begegnungen!$K$101=C19,Begegnungen!$K$102=C19,Begegnungen!$K$103=C19,Begegnungen!$K$104=C19,Begegnungen!$K$105=C19,Begegnungen!$K$106=C19,Begegnungen!$K$107=C19),Begegnungen!$I$111,""))</f>
        <v/>
      </c>
      <c r="R19" s="136" t="str">
        <f>IF(OR(Begegnungen!$C130=C19,Begegnungen!$C$118=C19,Begegnungen!$C$119=C19,Begegnungen!$C$120=C19,Begegnungen!$C$121=C19,Begegnungen!$C$122=C19,Begegnungen!$C$123=C19),Begegnungen!$E$127,IF(OR(Begegnungen!$E$117=C19,Begegnungen!$E$118=C19,Begegnungen!$E$119=C19,Begegnungen!$E$120=C19,Begegnungen!$E$121=C19,Begegnungen!$E$122=C19,Begegnungen!$E$123=C19),Begegnungen!$C$127,""))</f>
        <v/>
      </c>
      <c r="S19" s="66">
        <f>IF(OR(Begegnungen!$I$117=C19,Begegnungen!$I$118=C19,Begegnungen!$I$119=C19,Begegnungen!$I$120=C19,Begegnungen!$I$121=C19,Begegnungen!$I$122=C19,Begegnungen!$I$123=C19),Begegnungen!$K$127,IF(OR(Begegnungen!$K$117=C19,Begegnungen!$K$118=C19,Begegnungen!$K$119=C19,Begegnungen!$K$120=C19,Begegnungen!$K$121=C19,Begegnungen!$K$122=C19,Begegnungen!$K$123=C19),Begegnungen!$I$127,""))</f>
        <v>3</v>
      </c>
      <c r="T19" s="66" t="str">
        <f>IF(OR(Begegnungen!$C146=C19,Begegnungen!$C$134=C19,Begegnungen!$C$135=C19,Begegnungen!$C$136=C19,Begegnungen!$C$137=C19,Begegnungen!$C$138=C19,Begegnungen!$C$139=C19),Begegnungen!$E$143,IF(OR(Begegnungen!$E$133=C19,Begegnungen!$E$134=C19,Begegnungen!$E$135=C19,Begegnungen!$E$136=C19,Begegnungen!$E$137=C19,Begegnungen!$E$138=C19,Begegnungen!$E$139=C19),Begegnungen!$C$143,""))</f>
        <v/>
      </c>
      <c r="U19" s="66">
        <f>IF(OR(Begegnungen!$I146=C19,Begegnungen!$I$134=C19,Begegnungen!$I$135=C19,Begegnungen!$I$136=C19,Begegnungen!$I$137=C19,Begegnungen!$I$138=C19,Begegnungen!$I$139=C19),Begegnungen!$K$143,IF(OR(Begegnungen!$K$133=C19,Begegnungen!$K$134=C19,Begegnungen!$K$135=C19,Begegnungen!$K$136=C19,Begegnungen!$K$137=C19,Begegnungen!$K$138=C19,Begegnungen!$K$139=C19),Begegnungen!$I$143,""))</f>
        <v>2</v>
      </c>
      <c r="V19" s="66">
        <f>IF(OR(Begegnungen!$C162=C19,Begegnungen!$C$150=C19,Begegnungen!$C$151=C19,Begegnungen!$C$152=C19,Begegnungen!$C$153=C19,Begegnungen!$C$154=C19,Begegnungen!$C$155=C19),Begegnungen!$E$159,IF(OR(Begegnungen!$E$149=C19,Begegnungen!$E$150=C19,Begegnungen!$E$151=C19,Begegnungen!$E$152=C19,Begegnungen!$E$153=C19,Begegnungen!$E$154=C19,Begegnungen!$E$155=C19),Begegnungen!$C$159,""))</f>
        <v>4</v>
      </c>
      <c r="W19" s="66" t="str">
        <f>IF(OR(Begegnungen!$I162=C19,Begegnungen!$I$150=C19,Begegnungen!$I$151=C19,Begegnungen!$I$152=C19,Begegnungen!$I$153=C19,Begegnungen!$I$154=C19,Begegnungen!$I$155=C19),Begegnungen!$K$159,IF(OR(Begegnungen!$K$149=C19,Begegnungen!$K$150=C19,Begegnungen!$K$151=C19,Begegnungen!$K$152=C19,Begegnungen!$K$153=C19,Begegnungen!$K$154=C19,Begegnungen!$K$155=C19),Begegnungen!$I$159,""))</f>
        <v/>
      </c>
      <c r="X19" s="66">
        <f>IF(OR(Begegnungen!$C178=C19,Begegnungen!$C$166=C19,Begegnungen!$C$167=C19,Begegnungen!$C$168=C19,Begegnungen!$C$169=C19,Begegnungen!$C$170=C19,Begegnungen!$C$171=C19),Begegnungen!$E$175,IF(OR(Begegnungen!$E$165=C19,Begegnungen!$E$166=C19,Begegnungen!$E$167=C19,Begegnungen!$E$168=C19,Begegnungen!$E$169=C19,Begegnungen!$E$170=C19,Begegnungen!$E$171=C19),Begegnungen!$C$175,""))</f>
        <v>3</v>
      </c>
      <c r="Y19" s="66">
        <f>IF(OR(Begegnungen!$I178=C19,Begegnungen!$I$166=C19,Begegnungen!$I$167=C19,Begegnungen!$I$168=C19,Begegnungen!$I$169=C19,Begegnungen!$I$170=C19,Begegnungen!$I$171=C19),Begegnungen!$K$175,IF(OR(Begegnungen!$K$165=C19,Begegnungen!$K$166=C19,Begegnungen!$K$167=C19,Begegnungen!$K$168=C19,Begegnungen!$K$169=C19,Begegnungen!$K$170=C19,Begegnungen!$K$171=C19),Begegnungen!$I$175,""))</f>
        <v>4</v>
      </c>
      <c r="Z19" s="66" t="str">
        <f>IF(OR(Begegnungen!$C194=C19,Begegnungen!$C$182=C19,Begegnungen!$C$183=C19,Begegnungen!$C$184=C19,Begegnungen!$C$185=C19,Begegnungen!$C$186=C19,Begegnungen!$C$187=C19),Begegnungen!$E$191,IF(OR(Begegnungen!$E$181=C19,Begegnungen!$E$182=C19,Begegnungen!$E$183=C19,Begegnungen!$E$184=C19,Begegnungen!$E$185=C19,Begegnungen!$E$186=C19,Begegnungen!$E$187=C19),Begegnungen!$C$191,""))</f>
        <v/>
      </c>
      <c r="AA19" s="66">
        <f>IF(OR(Begegnungen!$I194=C19,Begegnungen!$I$182=C19,Begegnungen!$I$183=C19,Begegnungen!$I$184=C19,Begegnungen!$I$185=C19,Begegnungen!$I$186=C19,Begegnungen!$I$187=C19),Begegnungen!$K$191,IF(OR(Begegnungen!$K$181=C19,Begegnungen!$K$182=C19,Begegnungen!$K$183=C19,Begegnungen!$K$184=C19,Begegnungen!$K$185=C19,Begegnungen!$K$186=C19,Begegnungen!$K$187=C19),Begegnungen!$I$191,""))</f>
        <v>8</v>
      </c>
      <c r="AB19" s="66" t="str">
        <f>IF(OR(Begegnungen!$C210=C19,Begegnungen!$C$198=C19,Begegnungen!$C$199=C19,Begegnungen!$C$200=C19,Begegnungen!$C$201=C19,Begegnungen!$C$202=C19,Begegnungen!$C$203=C19),Begegnungen!$E$207,IF(OR(Begegnungen!$E$197=C19,Begegnungen!$E$198=C19,Begegnungen!$E$199=C19,Begegnungen!$E$200=C19,Begegnungen!$E$201=C19,Begegnungen!$E$202=C19,Begegnungen!$E$203=C19),Begegnungen!$C$207,""))</f>
        <v/>
      </c>
      <c r="AC19" s="66">
        <f>IF(OR(Begegnungen!$I210=C19,Begegnungen!$I$198=C19,Begegnungen!$I$199=C19,Begegnungen!$I$200=C19,Begegnungen!$I$201=C19,Begegnungen!$I$202=C19,Begegnungen!$I$203=C19),Begegnungen!$K$207,IF(OR(Begegnungen!$K$197=C19,Begegnungen!$K$198=C19,Begegnungen!$K$199=C19,Begegnungen!$K$200=C19,Begegnungen!$K$201=C19,Begegnungen!$K$202=C19,Begegnungen!$K$203=C19),Begegnungen!$I$207,""))</f>
        <v>2</v>
      </c>
      <c r="AD19" s="66" t="str">
        <f>IF(OR(Begegnungen!$C226=C19,Begegnungen!$C$214=C19,Begegnungen!$C$215=C19,Begegnungen!$C$216=C19,Begegnungen!$C$217=C19,Begegnungen!$C$218=C19,Begegnungen!$C$219=C19),Begegnungen!$E$223,IF(OR(Begegnungen!$E$213=C19,Begegnungen!$E$214=C19,Begegnungen!$E$215=C19,Begegnungen!$E$216=C19,Begegnungen!$E$217=C19,Begegnungen!$E$218=C19,Begegnungen!$E$219=C19),Begegnungen!$C$223,""))</f>
        <v/>
      </c>
      <c r="AE19" s="66">
        <f>IF(OR(Begegnungen!$I226=C19,Begegnungen!$I$214=C19,Begegnungen!$I$215=C19,Begegnungen!$I$216=C19,Begegnungen!$I$217=C19,Begegnungen!$I$218=C19,Begegnungen!$I$219=C19),Begegnungen!$K$223,IF(OR(Begegnungen!$K$213=C19,Begegnungen!$K$214=C19,Begegnungen!$K$215=C19,Begegnungen!$K$216=C19,Begegnungen!$K$217=C19,Begegnungen!$K$218=C19,Begegnungen!$K$219=C19),Begegnungen!$I$223,""))</f>
        <v>5</v>
      </c>
      <c r="AF19" s="136">
        <f>IF(OR(Begegnungen!$C242=C19,Begegnungen!$C$230=C19,Begegnungen!$C$231=C19,Begegnungen!$C$232=C19,Begegnungen!$C$233=C19,Begegnungen!$C$234=C19,Begegnungen!$C$235=C19),Begegnungen!$E$239,IF(OR(Begegnungen!$E$229=C19,Begegnungen!$E$230=C19,Begegnungen!$E$231=C19,Begegnungen!$E$232=C19,Begegnungen!$E$233=C19,Begegnungen!$E$234=C19,Begegnungen!$E$235=C19),Begegnungen!$C$239,""))</f>
        <v>0</v>
      </c>
      <c r="AG19" s="66">
        <f>IF(OR(Begegnungen!$I242=C19,Begegnungen!$I$230=C19,Begegnungen!$I$231=C19,Begegnungen!$I$232=C19,Begegnungen!$I$233=C19,Begegnungen!$I$234=C19,Begegnungen!$I$235=C19),Begegnungen!$K$239,IF(OR(Begegnungen!$K$229=C19,Begegnungen!$K$230=C19,Begegnungen!$K$231=C19,Begegnungen!$K$232=C19,Begegnungen!$K$233=C19,Begegnungen!$K$234=C19,Begegnungen!$K$235=C19),Begegnungen!$I$239,""))</f>
        <v>1</v>
      </c>
      <c r="AH19" s="66" t="str">
        <f>IF(OR(Begegnungen!$C258=C19,Begegnungen!$C$246=C19,Begegnungen!$C$247=C19,Begegnungen!$C$248=C19,Begegnungen!$C$249=C19,Begegnungen!$C$250=C19,Begegnungen!$C$251=C19),Begegnungen!$E$255,IF(OR(Begegnungen!$E$245=C19,Begegnungen!$E$246=C19,Begegnungen!$E$247=C19,Begegnungen!$E$248=C19,Begegnungen!$E$249=C19,Begegnungen!$E$250=C19,Begegnungen!$E$251=C19),Begegnungen!$C$255,""))</f>
        <v/>
      </c>
      <c r="AI19" s="66" t="str">
        <f>IF(OR(Begegnungen!$I258=C19,Begegnungen!$I$246=C19,Begegnungen!$I$247=C19,Begegnungen!$I$248=C19,Begegnungen!$I$249=C19,Begegnungen!$I$250=C19,Begegnungen!$I$251=C19),Begegnungen!$K$255,IF(OR(Begegnungen!$K$245=C19,Begegnungen!$K$246=C19,Begegnungen!$K$247=C19,Begegnungen!$K$248=C19,Begegnungen!$K$249=C19,Begegnungen!$K$250=C19,Begegnungen!$K$251=C19),Begegnungen!$I$255,""))</f>
        <v/>
      </c>
      <c r="AJ19" s="66" t="str">
        <f>IF(OR(Begegnungen!$C274=C19,Begegnungen!$C$262=C19,Begegnungen!$C$263=C19,Begegnungen!$C$264=C19,Begegnungen!$C$265=C19,Begegnungen!$C$266=C19,Begegnungen!$C$267=C19),Begegnungen!$E$271,IF(OR(Begegnungen!$E$261=C19,Begegnungen!$E$262=C19,Begegnungen!$E$263=C19,Begegnungen!$E$264=C19,Begegnungen!$E$265=C19,Begegnungen!$E$266=C19,Begegnungen!$E$267=C19),Begegnungen!$C$271,""))</f>
        <v/>
      </c>
      <c r="AK19" s="66">
        <f>IF(OR(Begegnungen!$I274=C19,Begegnungen!$I$262=C19,Begegnungen!$I$263=C19,Begegnungen!$I$264=C19,Begegnungen!$I$265=C19,Begegnungen!$I$266=C19,Begegnungen!$I$267=C19),Begegnungen!$K$271,IF(OR(Begegnungen!$K$261=C19,Begegnungen!$K$262=C19,Begegnungen!$K$263=C19,Begegnungen!$K$264=C19,Begegnungen!$K$265=C19,Begegnungen!$K$266=C19,Begegnungen!$K$267=C19),Begegnungen!$I$271,""))</f>
        <v>1</v>
      </c>
      <c r="AL19" s="66" t="str">
        <f>IF(OR(Begegnungen!$C290=C19,Begegnungen!$C$278=C19,Begegnungen!$C$279=C19,Begegnungen!$C$280=C19,Begegnungen!$C$281=C19,Begegnungen!$C$282=C19,Begegnungen!$C$283=C19),Begegnungen!$E$287,IF(OR(Begegnungen!$E$277=C19,Begegnungen!$E$278=C19,Begegnungen!$E$279=C19,Begegnungen!$E$280=C19,Begegnungen!$E$281=C19,Begegnungen!$E$282=C19,Begegnungen!$E$283=C19),Begegnungen!$C$287,""))</f>
        <v/>
      </c>
      <c r="AM19" s="136">
        <f>IF(OR(Begegnungen!$I290=C19,Begegnungen!$I$278=C19,Begegnungen!$I$279=C19,Begegnungen!$I$280=C19,Begegnungen!$I$281=C19,Begegnungen!$I$282=C19,Begegnungen!$I$283=C19),Begegnungen!$K$287,IF(OR(Begegnungen!$K$277=C19,Begegnungen!$K$278=C19,Begegnungen!$K$279=C19,Begegnungen!$K$280=C19,Begegnungen!$K$281=C19,Begegnungen!$K$282=C19,Begegnungen!$K$283=C19),Begegnungen!$I$287,""))</f>
        <v>3</v>
      </c>
      <c r="AN19" s="66">
        <f>IF(OR(Begegnungen!$C306=C19,Begegnungen!$C$294=C19,Begegnungen!$C$295=C19,Begegnungen!$C$296=C19,Begegnungen!$C$297=C19,Begegnungen!$C$298=C19,Begegnungen!$C$299=C19),Begegnungen!$E$303,IF(OR(Begegnungen!$E$293=C19,Begegnungen!$E$294=C19,Begegnungen!$E$295=C19,Begegnungen!$E$296=C19,Begegnungen!$E$297=C19,Begegnungen!$E$298=C19,Begegnungen!$E$299=C19),Begegnungen!$C$303,""))</f>
        <v>3</v>
      </c>
      <c r="AO19" s="136" t="str">
        <f>IF(OR(Begegnungen!$I306=C19,Begegnungen!$I$294=C19,Begegnungen!$I$295=C19,Begegnungen!$I$296=C19,Begegnungen!$I$297=C19,Begegnungen!$I$298=C19,Begegnungen!$I$299=C19),Begegnungen!$K$303,IF(OR(Begegnungen!$K$293=C19,Begegnungen!$K$294=C19,Begegnungen!$K$295=C19,Begegnungen!$K$296=C19,Begegnungen!$K$297=C19,Begegnungen!$K$298=C19,Begegnungen!$K$299=C19),Begegnungen!$I$303,""))</f>
        <v/>
      </c>
      <c r="AP19" s="136">
        <f>IF(OR(Begegnungen!$C322=C19,Begegnungen!$C$310=C19,Begegnungen!$C$311=C19,Begegnungen!$C$312=C19,Begegnungen!$C$313=C19,Begegnungen!$C$314=C19,Begegnungen!$C$315=C19),Begegnungen!$E$319,IF(OR(Begegnungen!$E$309=C19,Begegnungen!$E$310=C19,Begegnungen!$E$311=C19,Begegnungen!$E$312=C19,Begegnungen!$E$313=C19,Begegnungen!$E$314=C19,Begegnungen!$E$315=C19),Begegnungen!$C$319,""))</f>
        <v>2</v>
      </c>
      <c r="AQ19" s="66" t="str">
        <f>IF(OR(Begegnungen!$I322=C19,Begegnungen!$I$310=C19,Begegnungen!$I$311=C19,Begegnungen!$I$312=C19,Begegnungen!$I$313=C19,Begegnungen!$I$314=C19,Begegnungen!$I$315=C19),Begegnungen!$K$319,IF(OR(Begegnungen!$K$309=C19,Begegnungen!$K$310=C19,Begegnungen!$K$311=C19,Begegnungen!$K$312=C19,Begegnungen!$K$313=C19,Begegnungen!$K$314=C19,Begegnungen!$K$315=C19),Begegnungen!$I$319,""))</f>
        <v/>
      </c>
      <c r="AR19" s="25">
        <f t="shared" si="0"/>
        <v>61</v>
      </c>
      <c r="AS19" s="139">
        <f>Spiele!AS19</f>
        <v>22</v>
      </c>
      <c r="AT19" s="140">
        <f t="shared" si="1"/>
        <v>2.7727272727272729</v>
      </c>
    </row>
    <row r="20" spans="2:46" x14ac:dyDescent="0.25">
      <c r="B20" s="3">
        <v>15</v>
      </c>
      <c r="C20" s="65" t="s">
        <v>24</v>
      </c>
      <c r="D20" s="66" t="str">
        <f>IF(OR(Begegnungen!$C$3=C20,Begegnungen!$C$4=C20,Begegnungen!$C$5=C20,Begegnungen!$C$6=C20,Begegnungen!$C$7=C20,Begegnungen!$C$8=C20,Begegnungen!$C$9=C20),Begegnungen!$E$13,IF(OR(Begegnungen!$E$3=C20,Begegnungen!$E$4=C20,Begegnungen!$E$5=C20,Begegnungen!$E$6=C20,Begegnungen!$E$7=C20,Begegnungen!$E$8=C20,Begegnungen!$E$9=C20),Begegnungen!$C$13,""))</f>
        <v/>
      </c>
      <c r="E20" s="66" t="str">
        <f>IF(OR(Begegnungen!$I$3=C20,Begegnungen!$I$4=C20,Begegnungen!$I$5=C20,Begegnungen!$I$6=C20,Begegnungen!$I$7=C20,Begegnungen!$I$8=C20,Begegnungen!$I$9=C20),Begegnungen!$K$13,IF(OR(Begegnungen!$K$3=C20,Begegnungen!$K$4=C20,Begegnungen!$K$5=C20,Begegnungen!$K$6=C20,Begegnungen!$K$7=C20,Begegnungen!$K$8=C20,Begegnungen!$K$9=C20),Begegnungen!$I$13,""))</f>
        <v/>
      </c>
      <c r="F20" s="66" t="str">
        <f>IF(OR(Begegnungen!$C$19=C20,Begegnungen!$C$20=C20,Begegnungen!$C$21=C20,Begegnungen!$C$22=C20,Begegnungen!$C$23=C20,Begegnungen!$C$24=C20,Begegnungen!$C$25=C20),Begegnungen!$E$29,IF(OR(Begegnungen!$E$19=C20,Begegnungen!$E$20=C20,Begegnungen!$E$21=C20,Begegnungen!$E$22=C20,Begegnungen!$E$23=C20,Begegnungen!$E$24=C20,Begegnungen!$E$25=C20),Begegnungen!$C$29,""))</f>
        <v/>
      </c>
      <c r="G20" s="66" t="str">
        <f>IF(OR(Begegnungen!$I$19=C20,Begegnungen!$I$20=C20,Begegnungen!$I$21=C20,Begegnungen!$I$22=C20,Begegnungen!$I$23=C20,Begegnungen!$I$24=C20,Begegnungen!$I$25=C20),Begegnungen!$K$29,IF(OR(Begegnungen!$K$19=C20,Begegnungen!$K$20=C20,Begegnungen!$K$21=C20,Begegnungen!$K$22=C20,Begegnungen!$K$23=C20,Begegnungen!$K$24=C20,Begegnungen!$K$25=C20),Begegnungen!$I$29,""))</f>
        <v/>
      </c>
      <c r="H20" s="66" t="str">
        <f>IF(OR(Begegnungen!$C$35=C20,Begegnungen!$C$36=C20,Begegnungen!$C$37=C20,Begegnungen!$C$38=C20,Begegnungen!$C$39=C20,Begegnungen!$C$40=C20,Begegnungen!$C$41=C20),Begegnungen!$E$46,IF(OR(Begegnungen!$E$35=C20,Begegnungen!$E$36=C20,Begegnungen!$E$37=C20,Begegnungen!$E$38=C20,Begegnungen!$E$39=C20,Begegnungen!$E$40=C20,Begegnungen!$E$41=C20),Begegnungen!$C$46,""))</f>
        <v/>
      </c>
      <c r="I20" s="66" t="str">
        <f>IF(OR(Begegnungen!$I$35=C20,Begegnungen!$I$36=C20,Begegnungen!$I$37=C20,Begegnungen!$I$38=C20,Begegnungen!$I$39=C20,Begegnungen!$I$40=C20,Begegnungen!$I$41=C20),Begegnungen!$K$46,IF(OR(Begegnungen!$K$35=C20,Begegnungen!$K$36=C20,Begegnungen!$K$37=C20,Begegnungen!$K$38=C20,Begegnungen!$K$39=C20,Begegnungen!$K$40=C20,Begegnungen!$K$41=C20),Begegnungen!$I$46,""))</f>
        <v/>
      </c>
      <c r="J20" s="136" t="str">
        <f>IF(OR(Begegnungen!$C$52=C20,Begegnungen!$C$53=C20,Begegnungen!$C$54=C20,Begegnungen!$C$55=C20,Begegnungen!$C$56=C20,Begegnungen!$C$57=C20,Begegnungen!$C$58=C20),Begegnungen!$E$62,IF(OR(Begegnungen!$E$52=C20,Begegnungen!$E$53=C20,Begegnungen!$E$54=C20,Begegnungen!$E$55=C20,Begegnungen!$E$56=C20,Begegnungen!$E$57=C20,Begegnungen!$E$58=C20),Begegnungen!$C$62,""))</f>
        <v/>
      </c>
      <c r="K20" s="66" t="str">
        <f>IF(OR(Begegnungen!$I$52=C20,Begegnungen!$I$53=C20,Begegnungen!$I$54=C20,Begegnungen!$I$55=C20,Begegnungen!$I$56=C20,Begegnungen!$I$57=C20,Begegnungen!$I$58=C20),Begegnungen!$K$62,IF(OR(Begegnungen!$K$52=C20,Begegnungen!$K$53=C20,Begegnungen!$K$54=C20,Begegnungen!$K$55=C20,Begegnungen!$K$56=C20,Begegnungen!$K$57=C20,Begegnungen!$K$58=C20),Begegnungen!$I$62,""))</f>
        <v/>
      </c>
      <c r="L20" s="136" t="str">
        <f>IF(OR(Begegnungen!$C82=C20,Begegnungen!$C$69=C20,Begegnungen!$C$70=C20,Begegnungen!$C$71=C20,Begegnungen!$C$72=C20,Begegnungen!$C$73=C20,Begegnungen!$C$74=C20),Begegnungen!$E$78,IF(OR(Begegnungen!$E$68=C20,Begegnungen!$E$69=C20,Begegnungen!$E$70=C20,Begegnungen!$E$71=C20,Begegnungen!$E$72=C20,Begegnungen!$E$73=C20,Begegnungen!$E$74=C20),Begegnungen!$C$78,""))</f>
        <v/>
      </c>
      <c r="M20" s="66" t="str">
        <f>IF(OR(Begegnungen!$I82=C20,Begegnungen!$I$69=C20,Begegnungen!$I$70=C20,Begegnungen!$I$71=C20,Begegnungen!$I$72=C20,Begegnungen!$I$73=C20,Begegnungen!$I$74=C20),Begegnungen!$K$78,IF(OR(Begegnungen!$K$68=C20,Begegnungen!$K$69=C20,Begegnungen!$K$70=C20,Begegnungen!$K$71=C20,Begegnungen!$K$72=C20,Begegnungen!$K$73=C20,Begegnungen!$K$74=C20),Begegnungen!$I$78,""))</f>
        <v/>
      </c>
      <c r="N20" s="66" t="str">
        <f>IF(OR(Begegnungen!$C99=C20,Begegnungen!$C$85=C20,Begegnungen!$C$86=C20,Begegnungen!$C$87=C20,Begegnungen!$C$88=C20,Begegnungen!$C$89=C20,Begegnungen!$C$90=C20),Begegnungen!$E$95,IF(OR(Begegnungen!$E$84=C20,Begegnungen!$E$85=C20,Begegnungen!$E$86=C20,Begegnungen!$E$87=C20,Begegnungen!$E$88=C20,Begegnungen!$E$89=C20,Begegnungen!$E$90=C20),Begegnungen!$C$95,""))</f>
        <v/>
      </c>
      <c r="O20" s="66" t="str">
        <f>IF(OR(Begegnungen!$I99=C20,Begegnungen!$I$85=C20,Begegnungen!$I$86=C20,Begegnungen!$I$87=C20,Begegnungen!$I$88=C20,Begegnungen!$I$89=C20,Begegnungen!$I$90=C20),Begegnungen!$K$95,IF(OR(Begegnungen!$K$84=C20,Begegnungen!$K$85=C20,Begegnungen!$K$86=C20,Begegnungen!$K$87=C20,Begegnungen!$K$88=C20,Begegnungen!$K$89=C20,Begegnungen!$K$90=C20),Begegnungen!$I$95,""))</f>
        <v/>
      </c>
      <c r="P20" s="66" t="str">
        <f>IF(OR(Begegnungen!$C115=C20,Begegnungen!$C$102=C20,Begegnungen!$C$103=C20,Begegnungen!$C$104=C20,Begegnungen!$C$105=C20,Begegnungen!$C$106=C20,Begegnungen!$C$107=C20),Begegnungen!$E$111,IF(OR(Begegnungen!$E$101=C20,Begegnungen!$E$102=C20,Begegnungen!$E$103=C20,Begegnungen!$E$104=C20,Begegnungen!$E$105=C20,Begegnungen!$E$106=C20,Begegnungen!$E$107=C20),Begegnungen!$C$111,""))</f>
        <v/>
      </c>
      <c r="Q20" s="66" t="str">
        <f>IF(OR(Begegnungen!$I115=C20,Begegnungen!$I$102=C20,Begegnungen!$I$103=C20,Begegnungen!$I$104=C20,Begegnungen!$I$105=C20,Begegnungen!$I$106=C20,Begegnungen!$I$107=C20),Begegnungen!$K$111,IF(OR(Begegnungen!$K$101=C20,Begegnungen!$K$102=C20,Begegnungen!$K$103=C20,Begegnungen!$K$104=C20,Begegnungen!$K$105=C20,Begegnungen!$K$106=C20,Begegnungen!$K$107=C20),Begegnungen!$I$111,""))</f>
        <v/>
      </c>
      <c r="R20" s="136" t="str">
        <f>IF(OR(Begegnungen!$C131=C20,Begegnungen!$C$118=C20,Begegnungen!$C$119=C20,Begegnungen!$C$120=C20,Begegnungen!$C$121=C20,Begegnungen!$C$122=C20,Begegnungen!$C$123=C20),Begegnungen!$E$127,IF(OR(Begegnungen!$E$117=C20,Begegnungen!$E$118=C20,Begegnungen!$E$119=C20,Begegnungen!$E$120=C20,Begegnungen!$E$121=C20,Begegnungen!$E$122=C20,Begegnungen!$E$123=C20),Begegnungen!$C$127,""))</f>
        <v/>
      </c>
      <c r="S20" s="66" t="str">
        <f>IF(OR(Begegnungen!$I$117=C20,Begegnungen!$I$118=C20,Begegnungen!$I$119=C20,Begegnungen!$I$120=C20,Begegnungen!$I$121=C20,Begegnungen!$I$122=C20,Begegnungen!$I$123=C20),Begegnungen!$K$127,IF(OR(Begegnungen!$K$117=C20,Begegnungen!$K$118=C20,Begegnungen!$K$119=C20,Begegnungen!$K$120=C20,Begegnungen!$K$121=C20,Begegnungen!$K$122=C20,Begegnungen!$K$123=C20),Begegnungen!$I$127,""))</f>
        <v/>
      </c>
      <c r="T20" s="66" t="str">
        <f>IF(OR(Begegnungen!$C147=C20,Begegnungen!$C$134=C20,Begegnungen!$C$135=C20,Begegnungen!$C$136=C20,Begegnungen!$C$137=C20,Begegnungen!$C$138=C20,Begegnungen!$C$139=C20),Begegnungen!$E$143,IF(OR(Begegnungen!$E$133=C20,Begegnungen!$E$134=C20,Begegnungen!$E$135=C20,Begegnungen!$E$136=C20,Begegnungen!$E$137=C20,Begegnungen!$E$138=C20,Begegnungen!$E$139=C20),Begegnungen!$C$143,""))</f>
        <v/>
      </c>
      <c r="U20" s="66" t="str">
        <f>IF(OR(Begegnungen!$I147=C20,Begegnungen!$I$134=C20,Begegnungen!$I$135=C20,Begegnungen!$I$136=C20,Begegnungen!$I$137=C20,Begegnungen!$I$138=C20,Begegnungen!$I$139=C20),Begegnungen!$K$143,IF(OR(Begegnungen!$K$133=C20,Begegnungen!$K$134=C20,Begegnungen!$K$135=C20,Begegnungen!$K$136=C20,Begegnungen!$K$137=C20,Begegnungen!$K$138=C20,Begegnungen!$K$139=C20),Begegnungen!$I$143,""))</f>
        <v/>
      </c>
      <c r="V20" s="66" t="str">
        <f>IF(OR(Begegnungen!$C163=C20,Begegnungen!$C$150=C20,Begegnungen!$C$151=C20,Begegnungen!$C$152=C20,Begegnungen!$C$153=C20,Begegnungen!$C$154=C20,Begegnungen!$C$155=C20),Begegnungen!$E$159,IF(OR(Begegnungen!$E$149=C20,Begegnungen!$E$150=C20,Begegnungen!$E$151=C20,Begegnungen!$E$152=C20,Begegnungen!$E$153=C20,Begegnungen!$E$154=C20,Begegnungen!$E$155=C20),Begegnungen!$C$159,""))</f>
        <v/>
      </c>
      <c r="W20" s="66" t="str">
        <f>IF(OR(Begegnungen!$I163=C20,Begegnungen!$I$150=C20,Begegnungen!$I$151=C20,Begegnungen!$I$152=C20,Begegnungen!$I$153=C20,Begegnungen!$I$154=C20,Begegnungen!$I$155=C20),Begegnungen!$K$159,IF(OR(Begegnungen!$K$149=C20,Begegnungen!$K$150=C20,Begegnungen!$K$151=C20,Begegnungen!$K$152=C20,Begegnungen!$K$153=C20,Begegnungen!$K$154=C20,Begegnungen!$K$155=C20),Begegnungen!$I$159,""))</f>
        <v/>
      </c>
      <c r="X20" s="66" t="str">
        <f>IF(OR(Begegnungen!$C179=C20,Begegnungen!$C$166=C20,Begegnungen!$C$167=C20,Begegnungen!$C$168=C20,Begegnungen!$C$169=C20,Begegnungen!$C$170=C20,Begegnungen!$C$171=C20),Begegnungen!$E$175,IF(OR(Begegnungen!$E$165=C20,Begegnungen!$E$166=C20,Begegnungen!$E$167=C20,Begegnungen!$E$168=C20,Begegnungen!$E$169=C20,Begegnungen!$E$170=C20,Begegnungen!$E$171=C20),Begegnungen!$C$175,""))</f>
        <v/>
      </c>
      <c r="Y20" s="66" t="str">
        <f>IF(OR(Begegnungen!$I179=C20,Begegnungen!$I$166=C20,Begegnungen!$I$167=C20,Begegnungen!$I$168=C20,Begegnungen!$I$169=C20,Begegnungen!$I$170=C20,Begegnungen!$I$171=C20),Begegnungen!$K$175,IF(OR(Begegnungen!$K$165=C20,Begegnungen!$K$166=C20,Begegnungen!$K$167=C20,Begegnungen!$K$168=C20,Begegnungen!$K$169=C20,Begegnungen!$K$170=C20,Begegnungen!$K$171=C20),Begegnungen!$I$175,""))</f>
        <v/>
      </c>
      <c r="Z20" s="66" t="str">
        <f>IF(OR(Begegnungen!$C195=C20,Begegnungen!$C$182=C20,Begegnungen!$C$183=C20,Begegnungen!$C$184=C20,Begegnungen!$C$185=C20,Begegnungen!$C$186=C20,Begegnungen!$C$187=C20),Begegnungen!$E$191,IF(OR(Begegnungen!$E$181=C20,Begegnungen!$E$182=C20,Begegnungen!$E$183=C20,Begegnungen!$E$184=C20,Begegnungen!$E$185=C20,Begegnungen!$E$186=C20,Begegnungen!$E$187=C20),Begegnungen!$C$191,""))</f>
        <v/>
      </c>
      <c r="AA20" s="66" t="str">
        <f>IF(OR(Begegnungen!$I195=C20,Begegnungen!$I$182=C20,Begegnungen!$I$183=C20,Begegnungen!$I$184=C20,Begegnungen!$I$185=C20,Begegnungen!$I$186=C20,Begegnungen!$I$187=C20),Begegnungen!$K$191,IF(OR(Begegnungen!$K$181=C20,Begegnungen!$K$182=C20,Begegnungen!$K$183=C20,Begegnungen!$K$184=C20,Begegnungen!$K$185=C20,Begegnungen!$K$186=C20,Begegnungen!$K$187=C20),Begegnungen!$I$191,""))</f>
        <v/>
      </c>
      <c r="AB20" s="66" t="str">
        <f>IF(OR(Begegnungen!$C211=C20,Begegnungen!$C$198=C20,Begegnungen!$C$199=C20,Begegnungen!$C$200=C20,Begegnungen!$C$201=C20,Begegnungen!$C$202=C20,Begegnungen!$C$203=C20),Begegnungen!$E$207,IF(OR(Begegnungen!$E$197=C20,Begegnungen!$E$198=C20,Begegnungen!$E$199=C20,Begegnungen!$E$200=C20,Begegnungen!$E$201=C20,Begegnungen!$E$202=C20,Begegnungen!$E$203=C20),Begegnungen!$C$207,""))</f>
        <v/>
      </c>
      <c r="AC20" s="66" t="str">
        <f>IF(OR(Begegnungen!$I211=C20,Begegnungen!$I$198=C20,Begegnungen!$I$199=C20,Begegnungen!$I$200=C20,Begegnungen!$I$201=C20,Begegnungen!$I$202=C20,Begegnungen!$I$203=C20),Begegnungen!$K$207,IF(OR(Begegnungen!$K$197=C20,Begegnungen!$K$198=C20,Begegnungen!$K$199=C20,Begegnungen!$K$200=C20,Begegnungen!$K$201=C20,Begegnungen!$K$202=C20,Begegnungen!$K$203=C20),Begegnungen!$I$207,""))</f>
        <v/>
      </c>
      <c r="AD20" s="66" t="str">
        <f>IF(OR(Begegnungen!$C227=C20,Begegnungen!$C$214=C20,Begegnungen!$C$215=C20,Begegnungen!$C$216=C20,Begegnungen!$C$217=C20,Begegnungen!$C$218=C20,Begegnungen!$C$219=C20),Begegnungen!$E$223,IF(OR(Begegnungen!$E$213=C20,Begegnungen!$E$214=C20,Begegnungen!$E$215=C20,Begegnungen!$E$216=C20,Begegnungen!$E$217=C20,Begegnungen!$E$218=C20,Begegnungen!$E$219=C20),Begegnungen!$C$223,""))</f>
        <v/>
      </c>
      <c r="AE20" s="66" t="str">
        <f>IF(OR(Begegnungen!$I227=C20,Begegnungen!$I$214=C20,Begegnungen!$I$215=C20,Begegnungen!$I$216=C20,Begegnungen!$I$217=C20,Begegnungen!$I$218=C20,Begegnungen!$I$219=C20),Begegnungen!$K$223,IF(OR(Begegnungen!$K$213=C20,Begegnungen!$K$214=C20,Begegnungen!$K$215=C20,Begegnungen!$K$216=C20,Begegnungen!$K$217=C20,Begegnungen!$K$218=C20,Begegnungen!$K$219=C20),Begegnungen!$I$223,""))</f>
        <v/>
      </c>
      <c r="AF20" s="136" t="str">
        <f>IF(OR(Begegnungen!$C243=C20,Begegnungen!$C$230=C20,Begegnungen!$C$231=C20,Begegnungen!$C$232=C20,Begegnungen!$C$233=C20,Begegnungen!$C$234=C20,Begegnungen!$C$235=C20),Begegnungen!$E$239,IF(OR(Begegnungen!$E$229=C20,Begegnungen!$E$230=C20,Begegnungen!$E$231=C20,Begegnungen!$E$232=C20,Begegnungen!$E$233=C20,Begegnungen!$E$234=C20,Begegnungen!$E$235=C20),Begegnungen!$C$239,""))</f>
        <v/>
      </c>
      <c r="AG20" s="66" t="str">
        <f>IF(OR(Begegnungen!$I243=C20,Begegnungen!$I$230=C20,Begegnungen!$I$231=C20,Begegnungen!$I$232=C20,Begegnungen!$I$233=C20,Begegnungen!$I$234=C20,Begegnungen!$I$235=C20),Begegnungen!$K$239,IF(OR(Begegnungen!$K$229=C20,Begegnungen!$K$230=C20,Begegnungen!$K$231=C20,Begegnungen!$K$232=C20,Begegnungen!$K$233=C20,Begegnungen!$K$234=C20,Begegnungen!$K$235=C20),Begegnungen!$I$239,""))</f>
        <v/>
      </c>
      <c r="AH20" s="66" t="str">
        <f>IF(OR(Begegnungen!$C259=C20,Begegnungen!$C$246=C20,Begegnungen!$C$247=C20,Begegnungen!$C$248=C20,Begegnungen!$C$249=C20,Begegnungen!$C$250=C20,Begegnungen!$C$251=C20),Begegnungen!$E$255,IF(OR(Begegnungen!$E$245=C20,Begegnungen!$E$246=C20,Begegnungen!$E$247=C20,Begegnungen!$E$248=C20,Begegnungen!$E$249=C20,Begegnungen!$E$250=C20,Begegnungen!$E$251=C20),Begegnungen!$C$255,""))</f>
        <v/>
      </c>
      <c r="AI20" s="66" t="str">
        <f>IF(OR(Begegnungen!$I259=C20,Begegnungen!$I$246=C20,Begegnungen!$I$247=C20,Begegnungen!$I$248=C20,Begegnungen!$I$249=C20,Begegnungen!$I$250=C20,Begegnungen!$I$251=C20),Begegnungen!$K$255,IF(OR(Begegnungen!$K$245=C20,Begegnungen!$K$246=C20,Begegnungen!$K$247=C20,Begegnungen!$K$248=C20,Begegnungen!$K$249=C20,Begegnungen!$K$250=C20,Begegnungen!$K$251=C20),Begegnungen!$I$255,""))</f>
        <v/>
      </c>
      <c r="AJ20" s="66" t="str">
        <f>IF(OR(Begegnungen!$C275=C20,Begegnungen!$C$262=C20,Begegnungen!$C$263=C20,Begegnungen!$C$264=C20,Begegnungen!$C$265=C20,Begegnungen!$C$266=C20,Begegnungen!$C$267=C20),Begegnungen!$E$271,IF(OR(Begegnungen!$E$261=C20,Begegnungen!$E$262=C20,Begegnungen!$E$263=C20,Begegnungen!$E$264=C20,Begegnungen!$E$265=C20,Begegnungen!$E$266=C20,Begegnungen!$E$267=C20),Begegnungen!$C$271,""))</f>
        <v/>
      </c>
      <c r="AK20" s="66" t="str">
        <f>IF(OR(Begegnungen!$I275=C20,Begegnungen!$I$262=C20,Begegnungen!$I$263=C20,Begegnungen!$I$264=C20,Begegnungen!$I$265=C20,Begegnungen!$I$266=C20,Begegnungen!$I$267=C20),Begegnungen!$K$271,IF(OR(Begegnungen!$K$261=C20,Begegnungen!$K$262=C20,Begegnungen!$K$263=C20,Begegnungen!$K$264=C20,Begegnungen!$K$265=C20,Begegnungen!$K$266=C20,Begegnungen!$K$267=C20),Begegnungen!$I$271,""))</f>
        <v/>
      </c>
      <c r="AL20" s="66" t="str">
        <f>IF(OR(Begegnungen!$C291=C20,Begegnungen!$C$278=C20,Begegnungen!$C$279=C20,Begegnungen!$C$280=C20,Begegnungen!$C$281=C20,Begegnungen!$C$282=C20,Begegnungen!$C$283=C20),Begegnungen!$E$287,IF(OR(Begegnungen!$E$277=C20,Begegnungen!$E$278=C20,Begegnungen!$E$279=C20,Begegnungen!$E$280=C20,Begegnungen!$E$281=C20,Begegnungen!$E$282=C20,Begegnungen!$E$283=C20),Begegnungen!$C$287,""))</f>
        <v/>
      </c>
      <c r="AM20" s="136" t="str">
        <f>IF(OR(Begegnungen!$I291=C20,Begegnungen!$I$278=C20,Begegnungen!$I$279=C20,Begegnungen!$I$280=C20,Begegnungen!$I$281=C20,Begegnungen!$I$282=C20,Begegnungen!$I$283=C20),Begegnungen!$K$287,IF(OR(Begegnungen!$K$277=C20,Begegnungen!$K$278=C20,Begegnungen!$K$279=C20,Begegnungen!$K$280=C20,Begegnungen!$K$281=C20,Begegnungen!$K$282=C20,Begegnungen!$K$283=C20),Begegnungen!$I$287,""))</f>
        <v/>
      </c>
      <c r="AN20" s="66" t="str">
        <f>IF(OR(Begegnungen!$C307=C20,Begegnungen!$C$294=C20,Begegnungen!$C$295=C20,Begegnungen!$C$296=C20,Begegnungen!$C$297=C20,Begegnungen!$C$298=C20,Begegnungen!$C$299=C20),Begegnungen!$E$303,IF(OR(Begegnungen!$E$293=C20,Begegnungen!$E$294=C20,Begegnungen!$E$295=C20,Begegnungen!$E$296=C20,Begegnungen!$E$297=C20,Begegnungen!$E$298=C20,Begegnungen!$E$299=C20),Begegnungen!$C$303,""))</f>
        <v/>
      </c>
      <c r="AO20" s="136" t="str">
        <f>IF(OR(Begegnungen!$I307=C20,Begegnungen!$I$294=C20,Begegnungen!$I$295=C20,Begegnungen!$I$296=C20,Begegnungen!$I$297=C20,Begegnungen!$I$298=C20,Begegnungen!$I$299=C20),Begegnungen!$K$303,IF(OR(Begegnungen!$K$293=C20,Begegnungen!$K$294=C20,Begegnungen!$K$295=C20,Begegnungen!$K$296=C20,Begegnungen!$K$297=C20,Begegnungen!$K$298=C20,Begegnungen!$K$299=C20),Begegnungen!$I$303,""))</f>
        <v/>
      </c>
      <c r="AP20" s="136" t="str">
        <f>IF(OR(Begegnungen!$C323=C20,Begegnungen!$C$310=C20,Begegnungen!$C$311=C20,Begegnungen!$C$312=C20,Begegnungen!$C$313=C20,Begegnungen!$C$314=C20,Begegnungen!$C$315=C20),Begegnungen!$E$319,IF(OR(Begegnungen!$E$309=C20,Begegnungen!$E$310=C20,Begegnungen!$E$311=C20,Begegnungen!$E$312=C20,Begegnungen!$E$313=C20,Begegnungen!$E$314=C20,Begegnungen!$E$315=C20),Begegnungen!$C$319,""))</f>
        <v/>
      </c>
      <c r="AQ20" s="66" t="str">
        <f>IF(OR(Begegnungen!$I323=C20,Begegnungen!$I$310=C20,Begegnungen!$I$311=C20,Begegnungen!$I$312=C20,Begegnungen!$I$313=C20,Begegnungen!$I$314=C20,Begegnungen!$I$315=C20),Begegnungen!$K$319,IF(OR(Begegnungen!$K$309=C20,Begegnungen!$K$310=C20,Begegnungen!$K$311=C20,Begegnungen!$K$312=C20,Begegnungen!$K$313=C20,Begegnungen!$K$314=C20,Begegnungen!$K$315=C20),Begegnungen!$I$319,""))</f>
        <v/>
      </c>
      <c r="AR20" s="25">
        <f t="shared" si="0"/>
        <v>0</v>
      </c>
      <c r="AS20" s="139">
        <f>Spiele!AS20</f>
        <v>0</v>
      </c>
      <c r="AT20" s="140" t="e">
        <f t="shared" si="1"/>
        <v>#DIV/0!</v>
      </c>
    </row>
    <row r="21" spans="2:46" x14ac:dyDescent="0.25">
      <c r="B21" s="3">
        <v>16</v>
      </c>
      <c r="C21" s="65" t="s">
        <v>28</v>
      </c>
      <c r="D21" s="66">
        <f>IF(OR(Begegnungen!$C$3=C21,Begegnungen!$C$4=C21,Begegnungen!$C$5=C21,Begegnungen!$C$6=C21,Begegnungen!$C$7=C21,Begegnungen!$C$8=C21,Begegnungen!$C$9=C21),Begegnungen!$E$13,IF(OR(Begegnungen!$E$3=C21,Begegnungen!$E$4=C21,Begegnungen!$E$5=C21,Begegnungen!$E$6=C21,Begegnungen!$E$7=C21,Begegnungen!$E$8=C21,Begegnungen!$E$9=C21),Begegnungen!$C$13,""))</f>
        <v>2</v>
      </c>
      <c r="E21" s="66">
        <f>IF(OR(Begegnungen!$I$3=C21,Begegnungen!$I$4=C21,Begegnungen!$I$5=C21,Begegnungen!$I$6=C21,Begegnungen!$I$7=C21,Begegnungen!$I$8=C21,Begegnungen!$I$9=C21),Begegnungen!$K$13,IF(OR(Begegnungen!$K$3=C21,Begegnungen!$K$4=C21,Begegnungen!$K$5=C21,Begegnungen!$K$6=C21,Begegnungen!$K$7=C21,Begegnungen!$K$8=C21,Begegnungen!$K$9=C21),Begegnungen!$I$13,""))</f>
        <v>1</v>
      </c>
      <c r="F21" s="66">
        <f>IF(OR(Begegnungen!$C$19=C21,Begegnungen!$C$20=C21,Begegnungen!$C$21=C21,Begegnungen!$C$22=C21,Begegnungen!$C$23=C21,Begegnungen!$C$24=C21,Begegnungen!$C$25=C21),Begegnungen!$E$29,IF(OR(Begegnungen!$E$19=C21,Begegnungen!$E$20=C21,Begegnungen!$E$21=C21,Begegnungen!$E$22=C21,Begegnungen!$E$23=C21,Begegnungen!$E$24=C21,Begegnungen!$E$25=C21),Begegnungen!$C$29,""))</f>
        <v>4</v>
      </c>
      <c r="G21" s="66">
        <f>IF(OR(Begegnungen!$I$19=C21,Begegnungen!$I$20=C21,Begegnungen!$I$21=C21,Begegnungen!$I$22=C21,Begegnungen!$I$23=C21,Begegnungen!$I$24=C21,Begegnungen!$I$25=C21),Begegnungen!$K$29,IF(OR(Begegnungen!$K$19=C21,Begegnungen!$K$20=C21,Begegnungen!$K$21=C21,Begegnungen!$K$22=C21,Begegnungen!$K$23=C21,Begegnungen!$K$24=C21,Begegnungen!$K$25=C21),Begegnungen!$I$29,""))</f>
        <v>2</v>
      </c>
      <c r="H21" s="66">
        <f>IF(OR(Begegnungen!$C$35=C21,Begegnungen!$C$36=C21,Begegnungen!$C$37=C21,Begegnungen!$C$38=C21,Begegnungen!$C$39=C21,Begegnungen!$C$40=C21,Begegnungen!$C$41=C21),Begegnungen!$E$46,IF(OR(Begegnungen!$E$35=C21,Begegnungen!$E$36=C21,Begegnungen!$E$37=C21,Begegnungen!$E$38=C21,Begegnungen!$E$39=C21,Begegnungen!$E$40=C21,Begegnungen!$E$41=C21,Begegnungen!$E$42=C21),Begegnungen!$C$46,""))</f>
        <v>1</v>
      </c>
      <c r="I21" s="66">
        <f>IF(OR(Begegnungen!$I$35=C21,Begegnungen!$I$36=C21,Begegnungen!$I$37=C21,Begegnungen!$I$38=C21,Begegnungen!$I$39=C21,Begegnungen!$I$40=C21,Begegnungen!$I$41=C21),Begegnungen!$K$46,IF(OR(Begegnungen!$K$35=C21,Begegnungen!$K$36=C21,Begegnungen!$K$37=C21,Begegnungen!$K$38=C21,Begegnungen!$K$39=C21,Begegnungen!$K$40=C21,Begegnungen!$K$41=C21),Begegnungen!$I$46,""))</f>
        <v>3</v>
      </c>
      <c r="J21" s="136">
        <f>IF(OR(Begegnungen!$C$52=C21,Begegnungen!$C$53=C21,Begegnungen!$C$54=C21,Begegnungen!$C$55=C21,Begegnungen!$C$56=C21,Begegnungen!$C$57=C21,Begegnungen!$C$58=C21),Begegnungen!$E$62,IF(OR(Begegnungen!$E$52=C21,Begegnungen!$E$53=C21,Begegnungen!$E$54=C21,Begegnungen!$E$55=C21,Begegnungen!$E$56=C21,Begegnungen!$E$57=C21,Begegnungen!$E$58=C21),Begegnungen!$C$62,""))</f>
        <v>3</v>
      </c>
      <c r="K21" s="66">
        <f>IF(OR(Begegnungen!$I$52=C21,Begegnungen!$I$53=C21,Begegnungen!$I$54=C21,Begegnungen!$I$55=C21,Begegnungen!$I$56=C21,Begegnungen!$I$57=C21,Begegnungen!$I$58=C21),Begegnungen!$K$62,IF(OR(Begegnungen!$K$52=C21,Begegnungen!$K$53=C21,Begegnungen!$K$54=C21,Begegnungen!$K$55=C21,Begegnungen!$K$56=C21,Begegnungen!$K$57=C21,Begegnungen!$K$58=C21),Begegnungen!$I$62,""))</f>
        <v>1</v>
      </c>
      <c r="L21" s="136">
        <f>IF(OR(Begegnungen!$C83=C21,Begegnungen!$C$69=C21,Begegnungen!$C$70=C21,Begegnungen!$C$71=C21,Begegnungen!$C$72=C21,Begegnungen!$C$73=C21,Begegnungen!$C$74=C21),Begegnungen!$E$78,IF(OR(Begegnungen!$E$68=C21,Begegnungen!$E$69=C21,Begegnungen!$E$70=C21,Begegnungen!$E$71=C21,Begegnungen!$E$72=C21,Begegnungen!$E$73=C21,Begegnungen!$E$74=C21),Begegnungen!$C$78,""))</f>
        <v>4</v>
      </c>
      <c r="M21" s="66" t="str">
        <f>IF(OR(Begegnungen!$I83=C21,Begegnungen!$I$69=C21,Begegnungen!$I$70=C21,Begegnungen!$I$71=C21,Begegnungen!$I$72=C21,Begegnungen!$I$73=C21,Begegnungen!$I$74=C21),Begegnungen!$K$78,IF(OR(Begegnungen!$K$68=C21,Begegnungen!$K$69=C21,Begegnungen!$K$70=C21,Begegnungen!$K$71=C21,Begegnungen!$K$72=C21,Begegnungen!$K$73=C21,Begegnungen!$K$74=C21),Begegnungen!$I$78,""))</f>
        <v/>
      </c>
      <c r="N21" s="66" t="str">
        <f>IF(OR(Begegnungen!$C100=C21,Begegnungen!$C$85=C21,Begegnungen!$C$86=C21,Begegnungen!$C$87=C21,Begegnungen!$C$88=C21,Begegnungen!$C$89=C21,Begegnungen!$C$90=C21),Begegnungen!$E$95,IF(OR(Begegnungen!$E$84=C21,Begegnungen!$E$85=C21,Begegnungen!$E$86=C21,Begegnungen!$E$87=C21,Begegnungen!$E$88=C21,Begegnungen!$E$89=C21,Begegnungen!$E$90=C21),Begegnungen!$C$95,""))</f>
        <v/>
      </c>
      <c r="O21" s="66">
        <f>IF(OR(Begegnungen!$I100=C21,Begegnungen!$I$85=C21,Begegnungen!$I$86=C21,Begegnungen!$I$87=C21,Begegnungen!$I$88=C21,Begegnungen!$I$89=C21,Begegnungen!$I$90=C21),Begegnungen!$K$95,IF(OR(Begegnungen!$K$84=C21,Begegnungen!$K$85=C21,Begegnungen!$K$86=C21,Begegnungen!$K$87=C21,Begegnungen!$K$88=C21,Begegnungen!$K$89=C21,Begegnungen!$K$90=C21),Begegnungen!$I$95,""))</f>
        <v>1</v>
      </c>
      <c r="P21" s="66" t="str">
        <f>IF(OR(Begegnungen!$C116=C21,Begegnungen!$C$102=C21,Begegnungen!$C$103=C21,Begegnungen!$C$104=C21,Begegnungen!$C$105=C21,Begegnungen!$C$106=C21,Begegnungen!$C$107=C21),Begegnungen!$E$111,IF(OR(Begegnungen!$E$101=C21,Begegnungen!$E$102=C21,Begegnungen!$E$103=C21,Begegnungen!$E$104=C21,Begegnungen!$E$105=C21,Begegnungen!$E$106=C21,Begegnungen!$E$107=C21),Begegnungen!$C$111,""))</f>
        <v/>
      </c>
      <c r="Q21" s="66">
        <f>IF(OR(Begegnungen!$I116=C21,Begegnungen!$I$102=C21,Begegnungen!$I$103=C21,Begegnungen!$I$104=C21,Begegnungen!$I$105=C21,Begegnungen!$I$106=C21,Begegnungen!$I$107=C21),Begegnungen!$K$111,IF(OR(Begegnungen!$K$101=C21,Begegnungen!$K$102=C21,Begegnungen!$K$103=C21,Begegnungen!$K$104=C21,Begegnungen!$K$105=C21,Begegnungen!$K$106=C21,Begegnungen!$K$107=C21),Begegnungen!$I$111,""))</f>
        <v>0</v>
      </c>
      <c r="R21" s="136">
        <f>IF(OR(Begegnungen!$C132=C21,Begegnungen!$C$118=C21,Begegnungen!$C$119=C21,Begegnungen!$C$120=C21,Begegnungen!$C$121=C21,Begegnungen!$C$122=C21,Begegnungen!$C$123=C21),Begegnungen!$E$127,IF(OR(Begegnungen!$E$117=C21,Begegnungen!$E$118=C21,Begegnungen!$E$119=C21,Begegnungen!$E$120=C21,Begegnungen!$E$121=C21,Begegnungen!$E$122=C21,Begegnungen!$E$123=C21),Begegnungen!$C$127,""))</f>
        <v>4</v>
      </c>
      <c r="S21" s="66">
        <f>IF(OR(Begegnungen!$I$117=C21,Begegnungen!$I$118=C21,Begegnungen!$I$119=C21,Begegnungen!$I$120=C21,Begegnungen!$I$121=C21,Begegnungen!$I$122=C21,Begegnungen!$I$123=C21),Begegnungen!$K$127,IF(OR(Begegnungen!$K$117=C21,Begegnungen!$K$118=C21,Begegnungen!$K$119=C21,Begegnungen!$K$120=C21,Begegnungen!$K$121=C21,Begegnungen!$K$122=C21,Begegnungen!$K$123=C21),Begegnungen!$I$127,""))</f>
        <v>4</v>
      </c>
      <c r="T21" s="66">
        <f>IF(OR(Begegnungen!$C148=C21,Begegnungen!$C$134=C21,Begegnungen!$C$135=C21,Begegnungen!$C$136=C21,Begegnungen!$C$137=C21,Begegnungen!$C$138=C21,Begegnungen!$C$139=C21),Begegnungen!$E$143,IF(OR(Begegnungen!$E$133=C21,Begegnungen!$E$134=C21,Begegnungen!$E$135=C21,Begegnungen!$E$136=C21,Begegnungen!$E$137=C21,Begegnungen!$E$138=C21,Begegnungen!$E$139=C21),Begegnungen!$C$143,""))</f>
        <v>6</v>
      </c>
      <c r="U21" s="66">
        <f>IF(OR(Begegnungen!$I148=C21,Begegnungen!$I$134=C21,Begegnungen!$I$135=C21,Begegnungen!$I$136=C21,Begegnungen!$I$137=C21,Begegnungen!$I$138=C21,Begegnungen!$I$139=C21),Begegnungen!$K$143,IF(OR(Begegnungen!$K$133=C21,Begegnungen!$K$134=C21,Begegnungen!$K$135=C21,Begegnungen!$K$136=C21,Begegnungen!$K$137=C21,Begegnungen!$K$138=C21,Begegnungen!$K$139=C21),Begegnungen!$I$143,""))</f>
        <v>1</v>
      </c>
      <c r="V21" s="66" t="str">
        <f>IF(OR(Begegnungen!$C164=C21,Begegnungen!$C$150=C21,Begegnungen!$C$151=C21,Begegnungen!$C$152=C21,Begegnungen!$C$153=C21,Begegnungen!$C$154=C21,Begegnungen!$C$155=C21),Begegnungen!$E$159,IF(OR(Begegnungen!$E$149=C21,Begegnungen!$E$150=C21,Begegnungen!$E$151=C21,Begegnungen!$E$152=C21,Begegnungen!$E$153=C21,Begegnungen!$E$154=C21,Begegnungen!$E$155=C21),Begegnungen!$C$159,""))</f>
        <v/>
      </c>
      <c r="W21" s="66">
        <f>IF(OR(Begegnungen!$I164=C21,Begegnungen!$I$150=C21,Begegnungen!$I$151=C21,Begegnungen!$I$152=C21,Begegnungen!$I$153=C21,Begegnungen!$I$154=C21,Begegnungen!$I$155=C21),Begegnungen!$K$159,IF(OR(Begegnungen!$K$149=C21,Begegnungen!$K$150=C21,Begegnungen!$K$151=C21,Begegnungen!$K$152=C21,Begegnungen!$K$153=C21,Begegnungen!$K$154=C21,Begegnungen!$K$155=C21),Begegnungen!$I$159,""))</f>
        <v>10</v>
      </c>
      <c r="X21" s="66">
        <f>IF(OR(Begegnungen!$C180=C21,Begegnungen!$C$166=C21,Begegnungen!$C$167=C21,Begegnungen!$C$168=C21,Begegnungen!$C$169=C21,Begegnungen!$C$170=C21,Begegnungen!$C$171=C21),Begegnungen!$E$175,IF(OR(Begegnungen!$E$165=C21,Begegnungen!$E$166=C21,Begegnungen!$E$167=C21,Begegnungen!$E$168=C21,Begegnungen!$E$169=C21,Begegnungen!$E$170=C21,Begegnungen!$E$171=C21),Begegnungen!$C$175,""))</f>
        <v>7</v>
      </c>
      <c r="Y21" s="66">
        <f>IF(OR(Begegnungen!$I180=C21,Begegnungen!$I$166=C21,Begegnungen!$I$167=C21,Begegnungen!$I$168=C21,Begegnungen!$I$169=C21,Begegnungen!$I$170=C21,Begegnungen!$I$171=C21),Begegnungen!$K$175,IF(OR(Begegnungen!$K$165=C21,Begegnungen!$K$166=C21,Begegnungen!$K$167=C21,Begegnungen!$K$168=C21,Begegnungen!$K$169=C21,Begegnungen!$K$170=C21,Begegnungen!$K$171=C21),Begegnungen!$I$175,""))</f>
        <v>4</v>
      </c>
      <c r="Z21" s="66">
        <f>IF(OR(Begegnungen!$C196=C21,Begegnungen!$C$182=C21,Begegnungen!$C$183=C21,Begegnungen!$C$184=C21,Begegnungen!$C$185=C21,Begegnungen!$C$186=C21,Begegnungen!$C$187=C21),Begegnungen!$E$191,IF(OR(Begegnungen!$E$181=C21,Begegnungen!$E$182=C21,Begegnungen!$E$183=C21,Begegnungen!$E$184=C21,Begegnungen!$E$185=C21,Begegnungen!$E$186=C21,Begegnungen!$E$187=C21),Begegnungen!$C$191,""))</f>
        <v>3</v>
      </c>
      <c r="AA21" s="66">
        <f>IF(OR(Begegnungen!$I196=C21,Begegnungen!$I$182=C21,Begegnungen!$I$183=C21,Begegnungen!$I$184=C21,Begegnungen!$I$185=C21,Begegnungen!$I$186=C21,Begegnungen!$I$187=C21),Begegnungen!$K$191,IF(OR(Begegnungen!$K$181=C21,Begegnungen!$K$182=C21,Begegnungen!$K$183=C21,Begegnungen!$K$184=C21,Begegnungen!$K$185=C21,Begegnungen!$K$186=C21,Begegnungen!$K$187=C21),Begegnungen!$I$191,""))</f>
        <v>2</v>
      </c>
      <c r="AB21" s="66">
        <f>IF(OR(Begegnungen!$C212=C21,Begegnungen!$C$198=C21,Begegnungen!$C$199=C21,Begegnungen!$C$200=C21,Begegnungen!$C$201=C21,Begegnungen!$C$202=C21,Begegnungen!$C$203=C21),Begegnungen!$E$207,IF(OR(Begegnungen!$E$197=C21,Begegnungen!$E$198=C21,Begegnungen!$E$199=C21,Begegnungen!$E$200=C21,Begegnungen!$E$201=C21,Begegnungen!$E$202=C21,Begegnungen!$E$203=C21),Begegnungen!$C$207,""))</f>
        <v>1</v>
      </c>
      <c r="AC21" s="66" t="str">
        <f>IF(OR(Begegnungen!$I212=C21,Begegnungen!$I$198=C21,Begegnungen!$I$199=C21,Begegnungen!$I$200=C21,Begegnungen!$I$201=C21,Begegnungen!$I$202=C21,Begegnungen!$I$203=C21),Begegnungen!$K$207,IF(OR(Begegnungen!$K$197=C21,Begegnungen!$K$198=C21,Begegnungen!$K$199=C21,Begegnungen!$K$200=C21,Begegnungen!$K$201=C21,Begegnungen!$K$202=C21,Begegnungen!$K$203=C21),Begegnungen!$I$207,""))</f>
        <v/>
      </c>
      <c r="AD21" s="66">
        <f>IF(OR(Begegnungen!$C228=C21,Begegnungen!$C$214=C21,Begegnungen!$C$215=C21,Begegnungen!$C$216=C21,Begegnungen!$C$217=C21,Begegnungen!$C$218=C21,Begegnungen!$C$219=C21),Begegnungen!$E$223,IF(OR(Begegnungen!$E$213=C21,Begegnungen!$E$214=C21,Begegnungen!$E$215=C21,Begegnungen!$E$216=C21,Begegnungen!$E$217=C21,Begegnungen!$E$218=C21,Begegnungen!$E$219=C21),Begegnungen!$C$223,""))</f>
        <v>3</v>
      </c>
      <c r="AE21" s="66" t="str">
        <f>IF(OR(Begegnungen!$I228=C21,Begegnungen!$I$214=C21,Begegnungen!$I$215=C21,Begegnungen!$I$216=C21,Begegnungen!$I$217=C21,Begegnungen!$I$218=C21,Begegnungen!$I$219=C21),Begegnungen!$K$223,IF(OR(Begegnungen!$K$213=C21,Begegnungen!$K$214=C21,Begegnungen!$K$215=C21,Begegnungen!$K$216=C21,Begegnungen!$K$217=C21,Begegnungen!$K$218=C21,Begegnungen!$K$219=C21),Begegnungen!$I$223,""))</f>
        <v/>
      </c>
      <c r="AF21" s="136">
        <f>IF(OR(Begegnungen!$C244=C21,Begegnungen!$C$230=C21,Begegnungen!$C$231=C21,Begegnungen!$C$232=C21,Begegnungen!$C$233=C21,Begegnungen!$C$234=C21,Begegnungen!$C$235=C21),Begegnungen!$E$239,IF(OR(Begegnungen!$E$229=C21,Begegnungen!$E$230=C21,Begegnungen!$E$231=C21,Begegnungen!$E$232=C21,Begegnungen!$E$233=C21,Begegnungen!$E$234=C21,Begegnungen!$E$235=C21),Begegnungen!$C$239,""))</f>
        <v>0</v>
      </c>
      <c r="AG21" s="66">
        <f>IF(OR(Begegnungen!$I244=C21,Begegnungen!$I$230=C21,Begegnungen!$I$231=C21,Begegnungen!$I$232=C21,Begegnungen!$I$233=C21,Begegnungen!$I$234=C21,Begegnungen!$I$235=C21),Begegnungen!$K$239,IF(OR(Begegnungen!$K$229=C21,Begegnungen!$K$230=C21,Begegnungen!$K$231=C21,Begegnungen!$K$232=C21,Begegnungen!$K$233=C21,Begegnungen!$K$234=C21,Begegnungen!$K$235=C21),Begegnungen!$I$239,""))</f>
        <v>5</v>
      </c>
      <c r="AH21" s="66">
        <f>IF(OR(Begegnungen!$C260=C21,Begegnungen!$C$246=C21,Begegnungen!$C$247=C21,Begegnungen!$C$248=C21,Begegnungen!$C$249=C21,Begegnungen!$C$250=C21,Begegnungen!$C$251=C21),Begegnungen!$E$255,IF(OR(Begegnungen!$E$245=C21,Begegnungen!$E$246=C21,Begegnungen!$E$247=C21,Begegnungen!$E$248=C21,Begegnungen!$E$249=C21,Begegnungen!$E$250=C21,Begegnungen!$E$251=C21),Begegnungen!$C$255,""))</f>
        <v>2</v>
      </c>
      <c r="AI21" s="66">
        <f>IF(OR(Begegnungen!$I260=C21,Begegnungen!$I$246=C21,Begegnungen!$I$247=C21,Begegnungen!$I$248=C21,Begegnungen!$I$249=C21,Begegnungen!$I$250=C21,Begegnungen!$I$251=C21),Begegnungen!$K$255,IF(OR(Begegnungen!$K$245=C21,Begegnungen!$K$246=C21,Begegnungen!$K$247=C21,Begegnungen!$K$248=C21,Begegnungen!$K$249=C21,Begegnungen!$K$250=C21,Begegnungen!$K$251=C21),Begegnungen!$I$255,""))</f>
        <v>2</v>
      </c>
      <c r="AJ21" s="66">
        <f>IF(OR(Begegnungen!$C276=C21,Begegnungen!$C$262=C21,Begegnungen!$C$263=C21,Begegnungen!$C$264=C21,Begegnungen!$C$265=C21,Begegnungen!$C$266=C21,Begegnungen!$C$267=C21),Begegnungen!$E$271,IF(OR(Begegnungen!$E$261=C21,Begegnungen!$E$262=C21,Begegnungen!$E$263=C21,Begegnungen!$E$264=C21,Begegnungen!$E$265=C21,Begegnungen!$E$266=C21,Begegnungen!$E$267=C21),Begegnungen!$C$271,""))</f>
        <v>5</v>
      </c>
      <c r="AK21" s="66">
        <f>IF(OR(Begegnungen!$I276=C21,Begegnungen!$I$262=C21,Begegnungen!$I$263=C21,Begegnungen!$I$264=C21,Begegnungen!$I$265=C21,Begegnungen!$I$266=C21,Begegnungen!$I$267=C21),Begegnungen!$K$271,IF(OR(Begegnungen!$K$261=C21,Begegnungen!$K$262=C21,Begegnungen!$K$263=C21,Begegnungen!$K$264=C21,Begegnungen!$K$265=C21,Begegnungen!$K$266=C21,Begegnungen!$K$267=C21),Begegnungen!$I$271,""))</f>
        <v>1</v>
      </c>
      <c r="AL21" s="66">
        <f>IF(OR(Begegnungen!$C292=C21,Begegnungen!$C$278=C21,Begegnungen!$C$279=C21,Begegnungen!$C$280=C21,Begegnungen!$C$281=C21,Begegnungen!$C$282=C21,Begegnungen!$C$283=C21),Begegnungen!$E$287,IF(OR(Begegnungen!$E$277=C21,Begegnungen!$E$278=C21,Begegnungen!$E$279=C21,Begegnungen!$E$280=C21,Begegnungen!$E$281=C21,Begegnungen!$E$282=C21,Begegnungen!$E$283=C21),Begegnungen!$C$287,""))</f>
        <v>3</v>
      </c>
      <c r="AM21" s="136">
        <f>IF(OR(Begegnungen!$I292=C21,Begegnungen!$I$278=C21,Begegnungen!$I$279=C21,Begegnungen!$I$280=C21,Begegnungen!$I$281=C21,Begegnungen!$I$282=C21,Begegnungen!$I$283=C21),Begegnungen!$K$287,IF(OR(Begegnungen!$K$277=C21,Begegnungen!$K$278=C21,Begegnungen!$K$279=C21,Begegnungen!$K$280=C21,Begegnungen!$K$281=C21,Begegnungen!$K$282=C21,Begegnungen!$K$283=C21),Begegnungen!$I$287,""))</f>
        <v>2</v>
      </c>
      <c r="AN21" s="66">
        <f>IF(OR(Begegnungen!$C308=C21,Begegnungen!$C$294=C21,Begegnungen!$C$295=C21,Begegnungen!$C$296=C21,Begegnungen!$C$297=C21,Begegnungen!$C$298=C21,Begegnungen!$C$299=C21),Begegnungen!$E$303,IF(OR(Begegnungen!$E$293=C21,Begegnungen!$E$294=C21,Begegnungen!$E$295=C21,Begegnungen!$E$296=C21,Begegnungen!$E$297=C21,Begegnungen!$E$298=C21,Begegnungen!$E$299=C21),Begegnungen!$C$303,""))</f>
        <v>0</v>
      </c>
      <c r="AO21" s="136">
        <f>IF(OR(Begegnungen!$I308=C21,Begegnungen!$I$294=C21,Begegnungen!$I$295=C21,Begegnungen!$I$296=C21,Begegnungen!$I$297=C21,Begegnungen!$I$298=C21,Begegnungen!$I$299=C21),Begegnungen!$K$303,IF(OR(Begegnungen!$K$293=C21,Begegnungen!$K$294=C21,Begegnungen!$K$295=C21,Begegnungen!$K$296=C21,Begegnungen!$K$297=C21,Begegnungen!$K$298=C21,Begegnungen!$K$299=C21),Begegnungen!$I$303,""))</f>
        <v>0</v>
      </c>
      <c r="AP21" s="136">
        <f>IF(OR(Begegnungen!$C324=C21,Begegnungen!$C$310=C21,Begegnungen!$C$311=C21,Begegnungen!$C$312=C21,Begegnungen!$C$313=C21,Begegnungen!$C$314=C21,Begegnungen!$C$315=C21),Begegnungen!$E$319,IF(OR(Begegnungen!$E$309=C21,Begegnungen!$E$310=C21,Begegnungen!$E$311=C21,Begegnungen!$E$312=C21,Begegnungen!$E$313=C21,Begegnungen!$E$314=C21,Begegnungen!$E$315=C21),Begegnungen!$C$319,""))</f>
        <v>7</v>
      </c>
      <c r="AQ21" s="66">
        <f>IF(OR(Begegnungen!$I324=C21,Begegnungen!$I$310=C21,Begegnungen!$I$311=C21,Begegnungen!$I$312=C21,Begegnungen!$I$313=C21,Begegnungen!$I$314=C21,Begegnungen!$I$315=C21),Begegnungen!$K$319,IF(OR(Begegnungen!$K$309=C21,Begegnungen!$K$310=C21,Begegnungen!$K$311=C21,Begegnungen!$K$312=C21,Begegnungen!$K$313=C21,Begegnungen!$K$314=C21,Begegnungen!$K$315=C21),Begegnungen!$I$319,""))</f>
        <v>1</v>
      </c>
      <c r="AR21" s="25">
        <f t="shared" si="0"/>
        <v>95</v>
      </c>
      <c r="AS21" s="139">
        <f>Spiele!AS21</f>
        <v>34</v>
      </c>
      <c r="AT21" s="140">
        <f t="shared" si="1"/>
        <v>2.7941176470588234</v>
      </c>
    </row>
    <row r="22" spans="2:46" x14ac:dyDescent="0.25">
      <c r="B22" s="3">
        <v>17</v>
      </c>
      <c r="C22" s="65" t="s">
        <v>19</v>
      </c>
      <c r="D22" s="66">
        <f>IF(OR(Begegnungen!$C$3=C22,Begegnungen!$C$4=C22,Begegnungen!$C$5=C22,Begegnungen!$C$6=C22,Begegnungen!$C$7=C22,Begegnungen!$C$8=C22,Begegnungen!$C$9=C22),Begegnungen!$E$13,IF(OR(Begegnungen!$E$3=C22,Begegnungen!$E$4=C22,Begegnungen!$E$5=C22,Begegnungen!$E$6=C22,Begegnungen!$E$7=C22,Begegnungen!$E$8=C22,Begegnungen!$E$9=C22),Begegnungen!$C$13,""))</f>
        <v>2</v>
      </c>
      <c r="E22" s="66">
        <f>IF(OR(Begegnungen!$I$3=C22,Begegnungen!$I$4=C22,Begegnungen!$I$5=C22,Begegnungen!$I$6=C22,Begegnungen!$I$7=C22,Begegnungen!$I$8=C22,Begegnungen!$I$9=C22),Begegnungen!$K$13,IF(OR(Begegnungen!$K$3=C22,Begegnungen!$K$4=C22,Begegnungen!$K$5=C22,Begegnungen!$K$6=C22,Begegnungen!$K$7=C22,Begegnungen!$K$8=C22,Begegnungen!$K$9=C22),Begegnungen!$I$13,""))</f>
        <v>1</v>
      </c>
      <c r="F22" s="66">
        <f>IF(OR(Begegnungen!$C$19=C22,Begegnungen!$C$20=C22,Begegnungen!$C$21=C22,Begegnungen!$C$22=C22,Begegnungen!$C$23=C22,Begegnungen!$C$24=C22,Begegnungen!$C$25=C22),Begegnungen!$E$29,IF(OR(Begegnungen!$E$19=C22,Begegnungen!$E$20=C22,Begegnungen!$E$21=C22,Begegnungen!$E$22=C22,Begegnungen!$E$23=C22,Begegnungen!$E$24=C22,Begegnungen!$E$25=C22),Begegnungen!$C$29,""))</f>
        <v>4</v>
      </c>
      <c r="G22" s="66" t="str">
        <f>IF(OR(Begegnungen!$I$19=C22,Begegnungen!$I$20=C22,Begegnungen!$I$21=C22,Begegnungen!$I$22=C22,Begegnungen!$I$23=C22,Begegnungen!$I$24=C22,Begegnungen!$I$25=C22),Begegnungen!$K$29,IF(OR(Begegnungen!$K$19=C22,Begegnungen!$K$20=C22,Begegnungen!$K$21=C22,Begegnungen!$K$22=C22,Begegnungen!$K$23=C22,Begegnungen!$K$24=C22,Begegnungen!$K$25=C22),Begegnungen!$I$29,""))</f>
        <v/>
      </c>
      <c r="H22" s="66" t="str">
        <f>IF(OR(Begegnungen!$C$35=C22,Begegnungen!$C$36=C22,Begegnungen!$C$37=C22,Begegnungen!$C$38=C22,Begegnungen!$C$39=C22,Begegnungen!$C$40=C22,Begegnungen!$C$41=C22),Begegnungen!$E$46,IF(OR(Begegnungen!$E$35=C22,Begegnungen!$E$36=C22,Begegnungen!$E$37=C22,Begegnungen!$E$38=C22,Begegnungen!$E$39=C22,Begegnungen!$E$40=C22,Begegnungen!$E$41=C22),Begegnungen!$C$46,""))</f>
        <v/>
      </c>
      <c r="I22" s="66" t="str">
        <f>IF(OR(Begegnungen!$I$35=C22,Begegnungen!$I$36=C22,Begegnungen!$I$37=C22,Begegnungen!$I$38=C22,Begegnungen!$I$39=C22,Begegnungen!$I$40=C22,Begegnungen!$I$41=C22),Begegnungen!$K$46,IF(OR(Begegnungen!$K$35=C22,Begegnungen!$K$36=C22,Begegnungen!$K$37=C22,Begegnungen!$K$38=C22,Begegnungen!$K$39=C22,Begegnungen!$K$40=C22,Begegnungen!$K$41=C22),Begegnungen!$I$46,""))</f>
        <v/>
      </c>
      <c r="J22" s="136">
        <f>IF(OR(Begegnungen!$C$52=C22,Begegnungen!$C$53=C22,Begegnungen!$C$54=C22,Begegnungen!$C$55=C22,Begegnungen!$C$56=C22,Begegnungen!$C$57=C22,Begegnungen!$C$58=C22),Begegnungen!$E$62,IF(OR(Begegnungen!$E$52=C22,Begegnungen!$E$53=C22,Begegnungen!$E$54=C22,Begegnungen!$E$55=C22,Begegnungen!$E$56=C22,Begegnungen!$E$57=C22,Begegnungen!$E$58=C22),Begegnungen!$C$62,""))</f>
        <v>3</v>
      </c>
      <c r="K22" s="66" t="str">
        <f>IF(OR(Begegnungen!$I$52=C22,Begegnungen!$I$53=C22,Begegnungen!$I$54=C22,Begegnungen!$I$55=C22,Begegnungen!$I$56=C22,Begegnungen!$I$57=C22,Begegnungen!$I$58=C22),Begegnungen!$K$62,IF(OR(Begegnungen!$K$52=C22,Begegnungen!$K$53=C22,Begegnungen!$K$54=C22,Begegnungen!$K$55=C22,Begegnungen!$K$56=C22,Begegnungen!$K$57=C22,Begegnungen!$K$58=C22),Begegnungen!$I$62,""))</f>
        <v/>
      </c>
      <c r="L22" s="136" t="str">
        <f>IF(OR(Begegnungen!$C84=C22,Begegnungen!$C$69=C22,Begegnungen!$C$70=C22,Begegnungen!$C$71=C22,Begegnungen!$C$72=C22,Begegnungen!$C$73=C22,Begegnungen!$C$74=C22),Begegnungen!$E$78,IF(OR(Begegnungen!$E$68=C22,Begegnungen!$E$69=C22,Begegnungen!$E$70=C22,Begegnungen!$E$71=C22,Begegnungen!$E$72=C22,Begegnungen!$E$73=C22,Begegnungen!$E$74=C22),Begegnungen!$C$78,""))</f>
        <v/>
      </c>
      <c r="M22" s="66" t="str">
        <f>IF(OR(Begegnungen!$I84=C22,Begegnungen!$I$69=C22,Begegnungen!$I$70=C22,Begegnungen!$I$71=C22,Begegnungen!$I$72=C22,Begegnungen!$I$73=C22,Begegnungen!$I$74=C22),Begegnungen!$K$78,IF(OR(Begegnungen!$K$68=C22,Begegnungen!$K$69=C22,Begegnungen!$K$70=C22,Begegnungen!$K$71=C22,Begegnungen!$K$72=C22,Begegnungen!$K$73=C22,Begegnungen!$K$74=C22),Begegnungen!$I$78,""))</f>
        <v/>
      </c>
      <c r="N22" s="66" t="str">
        <f>IF(OR(Begegnungen!$C101=C22,Begegnungen!$C$85=C22,Begegnungen!$C$86=C22,Begegnungen!$C$87=C22,Begegnungen!$C$88=C22,Begegnungen!$C$89=C22,Begegnungen!$C$90=C22),Begegnungen!$E$95,IF(OR(Begegnungen!$E$84=C22,Begegnungen!$E$85=C22,Begegnungen!$E$86=C22,Begegnungen!$E$87=C22,Begegnungen!$E$88=C22,Begegnungen!$E$89=C22,Begegnungen!$E$90=C22),Begegnungen!$C$95,""))</f>
        <v/>
      </c>
      <c r="O22" s="66">
        <f>IF(OR(Begegnungen!$I101=C22,Begegnungen!$I$85=C22,Begegnungen!$I$86=C22,Begegnungen!$I$87=C22,Begegnungen!$I$88=C22,Begegnungen!$I$89=C22,Begegnungen!$I$90=C22,Begegnungen!$I$91=C22),Begegnungen!$K$95,IF(OR(Begegnungen!$K$84=C22,Begegnungen!$K$85=C22,Begegnungen!$K$86=C22,Begegnungen!$K$87=C22,Begegnungen!$K$88=C22,Begegnungen!$K$89=C22,Begegnungen!$K$90=C22,Begegnungen!$K$91=C22),Begegnungen!$I$95,""))</f>
        <v>2</v>
      </c>
      <c r="P22" s="66" t="str">
        <f>IF(OR(Begegnungen!$C117=C22,Begegnungen!$C$102=C22,Begegnungen!$C$103=C22,Begegnungen!$C$104=C22,Begegnungen!$C$105=C22,Begegnungen!$C$106=C22,Begegnungen!$C$107=C22),Begegnungen!$E$111,IF(OR(Begegnungen!$E$101=C22,Begegnungen!$E$102=C22,Begegnungen!$E$103=C22,Begegnungen!$E$104=C22,Begegnungen!$E$105=C22,Begegnungen!$E$106=C22,Begegnungen!$E$107=C22),Begegnungen!$C$111,""))</f>
        <v/>
      </c>
      <c r="Q22" s="66" t="str">
        <f>IF(OR(Begegnungen!$I117=C22,Begegnungen!$I$102=C22,Begegnungen!$I$103=C22,Begegnungen!$I$104=C22,Begegnungen!$I$105=C22,Begegnungen!$I$106=C22,Begegnungen!$I$107=C22),Begegnungen!$K$111,IF(OR(Begegnungen!$K$101=C22,Begegnungen!$K$102=C22,Begegnungen!$K$103=C22,Begegnungen!$K$104=C22,Begegnungen!$K$105=C22,Begegnungen!$K$106=C22,Begegnungen!$K$107=C22),Begegnungen!$I$111,""))</f>
        <v/>
      </c>
      <c r="R22" s="136">
        <f>IF(OR(Begegnungen!$C133=C22,Begegnungen!$C$118=C22,Begegnungen!$C$119=C22,Begegnungen!$C$120=C22,Begegnungen!$C$121=C22,Begegnungen!$C$122=C22,Begegnungen!$C$123=C22),Begegnungen!$E$127,IF(OR(Begegnungen!$E$117=C22,Begegnungen!$E$118=C22,Begegnungen!$E$119=C22,Begegnungen!$E$120=C22,Begegnungen!$E$121=C22,Begegnungen!$E$122=C22,Begegnungen!$E$123=C22),Begegnungen!$C$127,""))</f>
        <v>4</v>
      </c>
      <c r="S22" s="66" t="str">
        <f>IF(OR(Begegnungen!$I$117=C22,Begegnungen!$I$118=C22,Begegnungen!$I$119=C22,Begegnungen!$I$120=C22,Begegnungen!$I$121=C22,Begegnungen!$I$122=C22,Begegnungen!$I$123=C22),Begegnungen!$K$127,IF(OR(Begegnungen!$K$117=C22,Begegnungen!$K$118=C22,Begegnungen!$K$119=C22,Begegnungen!$K$120=C22,Begegnungen!$K$121=C22,Begegnungen!$K$122=C22,Begegnungen!$K$123=C22),Begegnungen!$I$127,""))</f>
        <v/>
      </c>
      <c r="T22" s="66" t="str">
        <f>IF(OR(Begegnungen!$C149=C22,Begegnungen!$C$134=C22,Begegnungen!$C$135=C22,Begegnungen!$C$136=C22,Begegnungen!$C$137=C22,Begegnungen!$C$138=C22,Begegnungen!$C$139=C22),Begegnungen!$E$143,IF(OR(Begegnungen!$E$133=C22,Begegnungen!$E$134=C22,Begegnungen!$E$135=C22,Begegnungen!$E$136=C22,Begegnungen!$E$137=C22,Begegnungen!$E$138=C22,Begegnungen!$E$139=C22),Begegnungen!$C$143,""))</f>
        <v/>
      </c>
      <c r="U22" s="66">
        <f>IF(OR(Begegnungen!$I149=C22,Begegnungen!$I$134=C22,Begegnungen!$I$135=C22,Begegnungen!$I$136=C22,Begegnungen!$I$137=C22,Begegnungen!$I$138=C22,Begegnungen!$I$139=C22),Begegnungen!$K$143,IF(OR(Begegnungen!$K$133=C22,Begegnungen!$K$134=C22,Begegnungen!$K$135=C22,Begegnungen!$K$136=C22,Begegnungen!$K$137=C22,Begegnungen!$K$138=C22,Begegnungen!$K$139=C22),Begegnungen!$I$143,""))</f>
        <v>2</v>
      </c>
      <c r="V22" s="66" t="str">
        <f>IF(OR(Begegnungen!$C165=C22,Begegnungen!$C$150=C22,Begegnungen!$C$151=C22,Begegnungen!$C$152=C22,Begegnungen!$C$153=C22,Begegnungen!$C$154=C22,Begegnungen!$C$155=C22),Begegnungen!$E$159,IF(OR(Begegnungen!$E$149=C22,Begegnungen!$E$150=C22,Begegnungen!$E$151=C22,Begegnungen!$E$152=C22,Begegnungen!$E$153=C22,Begegnungen!$E$154=C22,Begegnungen!$E$155=C22),Begegnungen!$C$159,""))</f>
        <v/>
      </c>
      <c r="W22" s="66" t="str">
        <f>IF(OR(Begegnungen!$I165=C22,Begegnungen!$I$150=C22,Begegnungen!$I$151=C22,Begegnungen!$I$152=C22,Begegnungen!$I$153=C22,Begegnungen!$I$154=C22,Begegnungen!$I$155=C22),Begegnungen!$K$159,IF(OR(Begegnungen!$K$149=C22,Begegnungen!$K$150=C22,Begegnungen!$K$151=C22,Begegnungen!$K$152=C22,Begegnungen!$K$153=C22,Begegnungen!$K$154=C22,Begegnungen!$K$155=C22),Begegnungen!$I$159,""))</f>
        <v/>
      </c>
      <c r="X22" s="66" t="str">
        <f>IF(OR(Begegnungen!$C181=C22,Begegnungen!$C$166=C22,Begegnungen!$C$167=C22,Begegnungen!$C$168=C22,Begegnungen!$C$169=C22,Begegnungen!$C$170=C22,Begegnungen!$C$171=C22),Begegnungen!$E$175,IF(OR(Begegnungen!$E$165=C22,Begegnungen!$E$166=C22,Begegnungen!$E$167=C22,Begegnungen!$E$168=C22,Begegnungen!$E$169=C22,Begegnungen!$E$170=C22,Begegnungen!$E$171=C22),Begegnungen!$C$175,""))</f>
        <v/>
      </c>
      <c r="Y22" s="66">
        <f>IF(OR(Begegnungen!$I181=C22,Begegnungen!$I$166=C22,Begegnungen!$I$167=C22,Begegnungen!$I$168=C22,Begegnungen!$I$169=C22,Begegnungen!$I$170=C22,Begegnungen!$I$171=C22),Begegnungen!$K$175,IF(OR(Begegnungen!$K$165=C22,Begegnungen!$K$166=C22,Begegnungen!$K$167=C22,Begegnungen!$K$168=C22,Begegnungen!$K$169=C22,Begegnungen!$K$170=C22,Begegnungen!$K$171=C22),Begegnungen!$I$175,""))</f>
        <v>4</v>
      </c>
      <c r="Z22" s="66" t="str">
        <f>IF(OR(Begegnungen!$C197=C22,Begegnungen!$C$182=C22,Begegnungen!$C$183=C22,Begegnungen!$C$184=C22,Begegnungen!$C$185=C22,Begegnungen!$C$186=C22,Begegnungen!$C$187=C22),Begegnungen!$E$191,IF(OR(Begegnungen!$E$181=C22,Begegnungen!$E$182=C22,Begegnungen!$E$183=C22,Begegnungen!$E$184=C22,Begegnungen!$E$185=C22,Begegnungen!$E$186=C22,Begegnungen!$E$187=C22),Begegnungen!$C$191,""))</f>
        <v/>
      </c>
      <c r="AA22" s="66" t="str">
        <f>IF(OR(Begegnungen!$I197=C22,Begegnungen!$I$182=C22,Begegnungen!$I$183=C22,Begegnungen!$I$184=C22,Begegnungen!$I$185=C22,Begegnungen!$I$186=C22,Begegnungen!$I$187=C22),Begegnungen!$K$191,IF(OR(Begegnungen!$K$181=C22,Begegnungen!$K$182=C22,Begegnungen!$K$183=C22,Begegnungen!$K$184=C22,Begegnungen!$K$185=C22,Begegnungen!$K$186=C22,Begegnungen!$K$187=C22),Begegnungen!$I$191,""))</f>
        <v/>
      </c>
      <c r="AB22" s="66">
        <f>IF(OR(Begegnungen!$C213=C22,Begegnungen!$C$198=C22,Begegnungen!$C$199=C22,Begegnungen!$C$200=C22,Begegnungen!$C$201=C22,Begegnungen!$C$202=C22,Begegnungen!$C$203=C22),Begegnungen!$E$207,IF(OR(Begegnungen!$E$197=C22,Begegnungen!$E$198=C22,Begegnungen!$E$199=C22,Begegnungen!$E$200=C22,Begegnungen!$E$201=C22,Begegnungen!$E$202=C22,Begegnungen!$E$203=C22),Begegnungen!$C$207,""))</f>
        <v>1</v>
      </c>
      <c r="AC22" s="66" t="str">
        <f>IF(OR(Begegnungen!$I213=C22,Begegnungen!$I$198=C22,Begegnungen!$I$199=C22,Begegnungen!$I$200=C22,Begegnungen!$I$201=C22,Begegnungen!$I$202=C22,Begegnungen!$I$203=C22),Begegnungen!$K$207,IF(OR(Begegnungen!$K$197=C22,Begegnungen!$K$198=C22,Begegnungen!$K$199=C22,Begegnungen!$K$200=C22,Begegnungen!$K$201=C22,Begegnungen!$K$202=C22,Begegnungen!$K$203=C22),Begegnungen!$I$207,""))</f>
        <v/>
      </c>
      <c r="AD22" s="66" t="str">
        <f>IF(OR(Begegnungen!$C229=C22,Begegnungen!$C$214=C22,Begegnungen!$C$215=C22,Begegnungen!$C$216=C22,Begegnungen!$C$217=C22,Begegnungen!$C$218=C22,Begegnungen!$C$219=C22),Begegnungen!$E$223,IF(OR(Begegnungen!$E$213=C22,Begegnungen!$E$214=C22,Begegnungen!$E$215=C22,Begegnungen!$E$216=C22,Begegnungen!$E$217=C22,Begegnungen!$E$218=C22,Begegnungen!$E$219=C22),Begegnungen!$C$223,""))</f>
        <v/>
      </c>
      <c r="AE22" s="66" t="str">
        <f>IF(OR(Begegnungen!$I229=C22,Begegnungen!$I$214=C22,Begegnungen!$I$215=C22,Begegnungen!$I$216=C22,Begegnungen!$I$217=C22,Begegnungen!$I$218=C22,Begegnungen!$I$219=C22),Begegnungen!$K$223,IF(OR(Begegnungen!$K$213=C22,Begegnungen!$K$214=C22,Begegnungen!$K$215=C22,Begegnungen!$K$216=C22,Begegnungen!$K$217=C22,Begegnungen!$K$218=C22,Begegnungen!$K$219=C22),Begegnungen!$I$223,""))</f>
        <v/>
      </c>
      <c r="AF22" s="136" t="str">
        <f>IF(OR(Begegnungen!$C245=C22,Begegnungen!$C$230=C22,Begegnungen!$C$231=C22,Begegnungen!$C$232=C22,Begegnungen!$C$233=C22,Begegnungen!$C$234=C22,Begegnungen!$C$235=C22),Begegnungen!$E$239,IF(OR(Begegnungen!$E$229=C22,Begegnungen!$E$230=C22,Begegnungen!$E$231=C22,Begegnungen!$E$232=C22,Begegnungen!$E$233=C22,Begegnungen!$E$234=C22,Begegnungen!$E$235=C22),Begegnungen!$C$239,""))</f>
        <v/>
      </c>
      <c r="AG22" s="66" t="str">
        <f>IF(OR(Begegnungen!$I245=C22,Begegnungen!$I$230=C22,Begegnungen!$I$231=C22,Begegnungen!$I$232=C22,Begegnungen!$I$233=C22,Begegnungen!$I$234=C22,Begegnungen!$I$235=C22),Begegnungen!$K$239,IF(OR(Begegnungen!$K$229=C22,Begegnungen!$K$230=C22,Begegnungen!$K$231=C22,Begegnungen!$K$232=C22,Begegnungen!$K$233=C22,Begegnungen!$K$234=C22,Begegnungen!$K$235=C22),Begegnungen!$I$239,""))</f>
        <v/>
      </c>
      <c r="AH22" s="66" t="str">
        <f>IF(OR(Begegnungen!$C261=C22,Begegnungen!$C$246=C22,Begegnungen!$C$247=C22,Begegnungen!$C$248=C22,Begegnungen!$C$249=C22,Begegnungen!$C$250=C22,Begegnungen!$C$251=C22),Begegnungen!$E$255,IF(OR(Begegnungen!$E$245=C22,Begegnungen!$E$246=C22,Begegnungen!$E$247=C22,Begegnungen!$E$248=C22,Begegnungen!$E$249=C22,Begegnungen!$E$250=C22,Begegnungen!$E$251=C22),Begegnungen!$C$255,""))</f>
        <v/>
      </c>
      <c r="AI22" s="66" t="str">
        <f>IF(OR(Begegnungen!$I261=C22,Begegnungen!$I$246=C22,Begegnungen!$I$247=C22,Begegnungen!$I$248=C22,Begegnungen!$I$249=C22,Begegnungen!$I$250=C22,Begegnungen!$I$251=C22),Begegnungen!$K$255,IF(OR(Begegnungen!$K$245=C22,Begegnungen!$K$246=C22,Begegnungen!$K$247=C22,Begegnungen!$K$248=C22,Begegnungen!$K$249=C22,Begegnungen!$K$250=C22,Begegnungen!$K$251=C22),Begegnungen!$I$255,""))</f>
        <v/>
      </c>
      <c r="AJ22" s="66" t="str">
        <f>IF(OR(Begegnungen!$C277=C22,Begegnungen!$C$262=C22,Begegnungen!$C$263=C22,Begegnungen!$C$264=C22,Begegnungen!$C$265=C22,Begegnungen!$C$266=C22,Begegnungen!$C$267=C22),Begegnungen!$E$271,IF(OR(Begegnungen!$E$261=C22,Begegnungen!$E$262=C22,Begegnungen!$E$263=C22,Begegnungen!$E$264=C22,Begegnungen!$E$265=C22,Begegnungen!$E$266=C22,Begegnungen!$E$267=C22),Begegnungen!$C$271,""))</f>
        <v/>
      </c>
      <c r="AK22" s="66">
        <f>IF(OR(Begegnungen!$I277=C22,Begegnungen!$I$262=C22,Begegnungen!$I$263=C22,Begegnungen!$I$264=C22,Begegnungen!$I$265=C22,Begegnungen!$I$266=C22,Begegnungen!$I$267=C22),Begegnungen!$K$271,IF(OR(Begegnungen!$K$261=C22,Begegnungen!$K$262=C22,Begegnungen!$K$263=C22,Begegnungen!$K$264=C22,Begegnungen!$K$265=C22,Begegnungen!$K$266=C22,Begegnungen!$K$267=C22),Begegnungen!$I$271,""))</f>
        <v>1</v>
      </c>
      <c r="AL22" s="66">
        <f>IF(OR(Begegnungen!$C293=C22,Begegnungen!$C$278=C22,Begegnungen!$C$279=C22,Begegnungen!$C$280=C22,Begegnungen!$C$281=C22,Begegnungen!$C$282=C22,Begegnungen!$C$283=C22),Begegnungen!$E$287,IF(OR(Begegnungen!$E$277=C22,Begegnungen!$E$278=C22,Begegnungen!$E$279=C22,Begegnungen!$E$280=C22,Begegnungen!$E$281=C22,Begegnungen!$E$282=C22,Begegnungen!$E$283=C22),Begegnungen!$C$287,""))</f>
        <v>3</v>
      </c>
      <c r="AM22" s="136" t="str">
        <f>IF(OR(Begegnungen!$I293=C22,Begegnungen!$I$278=C22,Begegnungen!$I$279=C22,Begegnungen!$I$280=C22,Begegnungen!$I$281=C22,Begegnungen!$I$282=C22,Begegnungen!$I$283=C22),Begegnungen!$K$287,IF(OR(Begegnungen!$K$277=C22,Begegnungen!$K$278=C22,Begegnungen!$K$279=C22,Begegnungen!$K$280=C22,Begegnungen!$K$281=C22,Begegnungen!$K$282=C22,Begegnungen!$K$283=C22),Begegnungen!$I$287,""))</f>
        <v/>
      </c>
      <c r="AN22" s="66" t="str">
        <f>IF(OR(Begegnungen!$C309=C22,Begegnungen!$C$294=C22,Begegnungen!$C$295=C22,Begegnungen!$C$296=C22,Begegnungen!$C$297=C22,Begegnungen!$C$298=C22,Begegnungen!$C$299=C22),Begegnungen!$E$303,IF(OR(Begegnungen!$E$293=C22,Begegnungen!$E$294=C22,Begegnungen!$E$295=C22,Begegnungen!$E$296=C22,Begegnungen!$E$297=C22,Begegnungen!$E$298=C22,Begegnungen!$E$299=C22),Begegnungen!$C$303,""))</f>
        <v/>
      </c>
      <c r="AO22" s="136" t="str">
        <f>IF(OR(Begegnungen!$I309=C22,Begegnungen!$I$294=C22,Begegnungen!$I$295=C22,Begegnungen!$I$296=C22,Begegnungen!$I$297=C22,Begegnungen!$I$298=C22,Begegnungen!$I$299=C22),Begegnungen!$K$303,IF(OR(Begegnungen!$K$293=C22,Begegnungen!$K$294=C22,Begegnungen!$K$295=C22,Begegnungen!$K$296=C22,Begegnungen!$K$297=C22,Begegnungen!$K$298=C22,Begegnungen!$K$299=C22),Begegnungen!$I$303,""))</f>
        <v/>
      </c>
      <c r="AP22" s="136">
        <f>IF(OR(Begegnungen!$C325=C22,Begegnungen!$C$310=C22,Begegnungen!$C$311=C22,Begegnungen!$C$312=C22,Begegnungen!$C$313=C22,Begegnungen!$C$314=C22,Begegnungen!$C$315=C22),Begegnungen!$E$319,IF(OR(Begegnungen!$E$309=C22,Begegnungen!$E$310=C22,Begegnungen!$E$311=C22,Begegnungen!$E$312=C22,Begegnungen!$E$313=C22,Begegnungen!$E$314=C22,Begegnungen!$E$315=C22),Begegnungen!$C$319,""))</f>
        <v>2</v>
      </c>
      <c r="AQ22" s="66">
        <f>IF(OR(Begegnungen!$I325=C22,Begegnungen!$I$310=C22,Begegnungen!$I$311=C22,Begegnungen!$I$312=C22,Begegnungen!$I$313=C22,Begegnungen!$I$314=C22,Begegnungen!$I$315=C22),Begegnungen!$K$319,IF(OR(Begegnungen!$K$309=C22,Begegnungen!$K$310=C22,Begegnungen!$K$311=C22,Begegnungen!$K$312=C22,Begegnungen!$K$313=C22,Begegnungen!$K$314=C22,Begegnungen!$K$315=C22),Begegnungen!$I$319,""))</f>
        <v>1</v>
      </c>
      <c r="AR22" s="25">
        <f t="shared" si="0"/>
        <v>30</v>
      </c>
      <c r="AS22" s="139">
        <f>Spiele!AS22</f>
        <v>13</v>
      </c>
      <c r="AT22" s="140">
        <f t="shared" si="1"/>
        <v>2.3076923076923075</v>
      </c>
    </row>
    <row r="23" spans="2:46" x14ac:dyDescent="0.25">
      <c r="B23" s="3">
        <v>18</v>
      </c>
      <c r="C23" s="65" t="s">
        <v>56</v>
      </c>
      <c r="D23" s="66">
        <f>IF(OR(Begegnungen!$C$3=C23,Begegnungen!$C$4=C23,Begegnungen!$C$5=C23,Begegnungen!$C$6=C23,Begegnungen!$C$7=C23,Begegnungen!$C$8=C23,Begegnungen!$C$9=C23),Begegnungen!$E$13,IF(OR(Begegnungen!$E$3=C23,Begegnungen!$E$4=C23,Begegnungen!$E$5=C23,Begegnungen!$E$6=C23,Begegnungen!$E$7=C23,Begegnungen!$E$8=C23,Begegnungen!$E$9=C23),Begegnungen!$C$13,""))</f>
        <v>2</v>
      </c>
      <c r="E23" s="66">
        <f>IF(OR(Begegnungen!$I$3=C23,Begegnungen!$I$4=C23,Begegnungen!$I$5=C23,Begegnungen!$I$6=C23,Begegnungen!$I$7=C23,Begegnungen!$I$8=C23,Begegnungen!$I$9=C23),Begegnungen!$K$13,IF(OR(Begegnungen!$K$3=C23,Begegnungen!$K$4=C23,Begegnungen!$K$5=C23,Begegnungen!$K$6=C23,Begegnungen!$K$7=C23,Begegnungen!$K$8=C23,Begegnungen!$K$9=C23),Begegnungen!$I$13,""))</f>
        <v>1</v>
      </c>
      <c r="F23" s="66">
        <f>IF(OR(Begegnungen!$C$19=C23,Begegnungen!$C$20=C23,Begegnungen!$C$21=C23,Begegnungen!$C$22=C23,Begegnungen!$C$23=C23,Begegnungen!$C$24=C23,Begegnungen!$C$25=C23),Begegnungen!$E$29,IF(OR(Begegnungen!$E$19=C23,Begegnungen!$E$20=C23,Begegnungen!$E$21=C23,Begegnungen!$E$22=C23,Begegnungen!$E$23=C23,Begegnungen!$E$24=C23,Begegnungen!$E$25=C23),Begegnungen!$C$29,""))</f>
        <v>4</v>
      </c>
      <c r="G23" s="66">
        <f>IF(OR(Begegnungen!$I$19=C23,Begegnungen!$I$20=C23,Begegnungen!$I$21=C23,Begegnungen!$I$22=C23,Begegnungen!$I$23=C23,Begegnungen!$I$24=C23,Begegnungen!$I$25=C23),Begegnungen!$K$29,IF(OR(Begegnungen!$K$19=C23,Begegnungen!$K$20=C23,Begegnungen!$K$21=C23,Begegnungen!$K$22=C23,Begegnungen!$K$23=C23,Begegnungen!$K$24=C23,Begegnungen!$K$25=C23),Begegnungen!$I$29,""))</f>
        <v>2</v>
      </c>
      <c r="H23" s="66" t="str">
        <f>IF(OR(Begegnungen!$C$35=C23,Begegnungen!$C$36=C23,Begegnungen!$C$37=C23,Begegnungen!$C$38=C23,Begegnungen!$C$39=C23,Begegnungen!$C$40=C23,Begegnungen!$C$41=C23),Begegnungen!$E$46,IF(OR(Begegnungen!$E$35=C23,Begegnungen!$E$36=C23,Begegnungen!$E$37=C23,Begegnungen!$E$38=C23,Begegnungen!$E$39=C23,Begegnungen!$E$40=C23,Begegnungen!$E$41=C23),Begegnungen!$C$46,""))</f>
        <v/>
      </c>
      <c r="I23" s="66">
        <f>IF(OR(Begegnungen!$I$35=C23,Begegnungen!$I$36=C23,Begegnungen!$I$37=C23,Begegnungen!$I$38=C23,Begegnungen!$I$39=C23,Begegnungen!$I$40=C23,Begegnungen!$I$41=C23),Begegnungen!$K$46,IF(OR(Begegnungen!$K$35=C23,Begegnungen!$K$36=C23,Begegnungen!$K$37=C23,Begegnungen!$K$38=C23,Begegnungen!$K$39=C23,Begegnungen!$K$40=C23,Begegnungen!$K$41=C23),Begegnungen!$I$46,""))</f>
        <v>3</v>
      </c>
      <c r="J23" s="136">
        <f>IF(OR(Begegnungen!$C$52=C23,Begegnungen!$C$53=C23,Begegnungen!$C$54=C23,Begegnungen!$C$55=C23,Begegnungen!$C$56=C23,Begegnungen!$C$57=C23,Begegnungen!$C$58=C23),Begegnungen!$E$62,IF(OR(Begegnungen!$E$52=C23,Begegnungen!$E$53=C23,Begegnungen!$E$54=C23,Begegnungen!$E$55=C23,Begegnungen!$E$56=C23,Begegnungen!$E$57=C23,Begegnungen!$E$58=C23),Begegnungen!$C$62,""))</f>
        <v>3</v>
      </c>
      <c r="K23" s="66">
        <f>IF(OR(Begegnungen!$I$52=C23,Begegnungen!$I$53=C23,Begegnungen!$I$54=C23,Begegnungen!$I$55=C23,Begegnungen!$I$56=C23,Begegnungen!$I$57=C23,Begegnungen!$I$58=C23),Begegnungen!$K$62,IF(OR(Begegnungen!$K$52=C23,Begegnungen!$K$53=C23,Begegnungen!$K$54=C23,Begegnungen!$K$55=C23,Begegnungen!$K$56=C23,Begegnungen!$K$57=C23,Begegnungen!$K$58=C23),Begegnungen!$I$62,""))</f>
        <v>1</v>
      </c>
      <c r="L23" s="136" t="str">
        <f>IF(OR(Begegnungen!$C85=C23,Begegnungen!$C$69=C23,Begegnungen!$C$70=C23,Begegnungen!$C$71=C23,Begegnungen!$C$72=C23,Begegnungen!$C$73=C23,Begegnungen!$C$74=C23),Begegnungen!$E$78,IF(OR(Begegnungen!$E$68=C23,Begegnungen!$E$69=C23,Begegnungen!$E$70=C23,Begegnungen!$E$71=C23,Begegnungen!$E$72=C23,Begegnungen!$E$73=C23,Begegnungen!$E$74=C23),Begegnungen!$C$78,""))</f>
        <v/>
      </c>
      <c r="M23" s="66">
        <f>IF(OR(Begegnungen!$I85=C23,Begegnungen!$I$69=C23,Begegnungen!$I$70=C23,Begegnungen!$I$71=C23,Begegnungen!$I$72=C23,Begegnungen!$I$73=C23,Begegnungen!$I$74=C23),Begegnungen!$K$78,IF(OR(Begegnungen!$K$68=C23,Begegnungen!$K$69=C23,Begegnungen!$K$70=C23,Begegnungen!$K$71=C23,Begegnungen!$K$72=C23,Begegnungen!$K$73=C23,Begegnungen!$K$74=C23),Begegnungen!$I$78,""))</f>
        <v>1</v>
      </c>
      <c r="N23" s="66" t="str">
        <f>IF(OR(Begegnungen!$C102=C23,Begegnungen!$C$85=C23,Begegnungen!$C$86=C23,Begegnungen!$C$87=C23,Begegnungen!$C$88=C23,Begegnungen!$C$89=C23,Begegnungen!$C$90=C23),Begegnungen!$E$95,IF(OR(Begegnungen!$E$84=C23,Begegnungen!$E$85=C23,Begegnungen!$E$86=C23,Begegnungen!$E$87=C23,Begegnungen!$E$88=C23,Begegnungen!$E$89=C23,Begegnungen!$E$90=C23),Begegnungen!$C$95,""))</f>
        <v/>
      </c>
      <c r="O23" s="66" t="str">
        <f>IF(OR(Begegnungen!$I102=C23,Begegnungen!$I$85=C23,Begegnungen!$I$86=C23,Begegnungen!$I$87=C23,Begegnungen!$I$88=C23,Begegnungen!$I$89=C23,Begegnungen!$I$90=C23,Begegnungen!$I$91=C23),Begegnungen!$K$95,IF(OR(Begegnungen!$K$84=C23,Begegnungen!$K$85=C23,Begegnungen!$K$86=C23,Begegnungen!$K$87=C23,Begegnungen!$K$88=C23,Begegnungen!$K$89=C23,Begegnungen!$K$90=C23,Begegnungen!$K$91=C23),Begegnungen!$I$95,""))</f>
        <v/>
      </c>
      <c r="P23" s="66" t="str">
        <f>IF(OR(Begegnungen!$C118=C23,Begegnungen!$C$102=C23,Begegnungen!$C$103=C23,Begegnungen!$C$104=C23,Begegnungen!$C$105=C23,Begegnungen!$C$106=C23,Begegnungen!$C$107=C23),Begegnungen!$E$111,IF(OR(Begegnungen!$E$101=C23,Begegnungen!$E$102=C23,Begegnungen!$E$103=C23,Begegnungen!$E$104=C23,Begegnungen!$E$105=C23,Begegnungen!$E$106=C23,Begegnungen!$E$107=C23),Begegnungen!$C$111,""))</f>
        <v/>
      </c>
      <c r="Q23" s="66" t="str">
        <f>IF(OR(Begegnungen!$I118=C23,Begegnungen!$I$102=C23,Begegnungen!$I$103=C23,Begegnungen!$I$104=C23,Begegnungen!$I$105=C23,Begegnungen!$I$106=C23,Begegnungen!$I$107=C23),Begegnungen!$K$111,IF(OR(Begegnungen!$K$101=C23,Begegnungen!$K$102=C23,Begegnungen!$K$103=C23,Begegnungen!$K$104=C23,Begegnungen!$K$105=C23,Begegnungen!$K$106=C23,Begegnungen!$K$107=C23),Begegnungen!$I$111,""))</f>
        <v/>
      </c>
      <c r="R23" s="136" t="str">
        <f>IF(OR(Begegnungen!$C134=C23,Begegnungen!$C$118=C23,Begegnungen!$C$119=C23,Begegnungen!$C$120=C23,Begegnungen!$C$121=C23,Begegnungen!$C$122=C23,Begegnungen!$C$123=C23),Begegnungen!$E$127,IF(OR(Begegnungen!$E$117=C23,Begegnungen!$E$118=C23,Begegnungen!$E$119=C23,Begegnungen!$E$120=C23,Begegnungen!$E$121=C23,Begegnungen!$E$122=C23,Begegnungen!$E$123=C23),Begegnungen!$C$127,""))</f>
        <v/>
      </c>
      <c r="S23" s="66" t="str">
        <f>IF(OR(Begegnungen!$I$117=C23,Begegnungen!$I$118=C23,Begegnungen!$I$119=C23,Begegnungen!$I$120=C23,Begegnungen!$I$121=C23,Begegnungen!$I$122=C23,Begegnungen!$I$123=C23),Begegnungen!$K$127,IF(OR(Begegnungen!$K$117=C23,Begegnungen!$K$118=C23,Begegnungen!$K$119=C23,Begegnungen!$K$120=C23,Begegnungen!$K$121=C23,Begegnungen!$K$122=C23,Begegnungen!$K$123=C23),Begegnungen!$I$127,""))</f>
        <v/>
      </c>
      <c r="T23" s="66" t="str">
        <f>IF(OR(Begegnungen!$C150=C23,Begegnungen!$C$134=C23,Begegnungen!$C$135=C23,Begegnungen!$C$136=C23,Begegnungen!$C$137=C23,Begegnungen!$C$138=C23,Begegnungen!$C$139=C23),Begegnungen!$E$143,IF(OR(Begegnungen!$E$133=C23,Begegnungen!$E$134=C23,Begegnungen!$E$135=C23,Begegnungen!$E$136=C23,Begegnungen!$E$137=C23,Begegnungen!$E$138=C23,Begegnungen!$E$139=C23),Begegnungen!$C$143,""))</f>
        <v/>
      </c>
      <c r="U23" s="66" t="str">
        <f>IF(OR(Begegnungen!$I150=C23,Begegnungen!$I$134=C23,Begegnungen!$I$135=C23,Begegnungen!$I$136=C23,Begegnungen!$I$137=C23,Begegnungen!$I$138=C23,Begegnungen!$I$139=C23),Begegnungen!$K$143,IF(OR(Begegnungen!$K$133=C23,Begegnungen!$K$134=C23,Begegnungen!$K$135=C23,Begegnungen!$K$136=C23,Begegnungen!$K$137=C23,Begegnungen!$K$138=C23,Begegnungen!$K$139=C23),Begegnungen!$I$143,""))</f>
        <v/>
      </c>
      <c r="V23" s="66" t="str">
        <f>IF(OR(Begegnungen!$C166=C23,Begegnungen!$C$150=C23,Begegnungen!$C$151=C23,Begegnungen!$C$152=C23,Begegnungen!$C$153=C23,Begegnungen!$C$154=C23,Begegnungen!$C$155=C23),Begegnungen!$E$159,IF(OR(Begegnungen!$E$149=C23,Begegnungen!$E$150=C23,Begegnungen!$E$151=C23,Begegnungen!$E$152=C23,Begegnungen!$E$153=C23,Begegnungen!$E$154=C23,Begegnungen!$E$155=C23),Begegnungen!$C$159,""))</f>
        <v/>
      </c>
      <c r="W23" s="66" t="str">
        <f>IF(OR(Begegnungen!$I166=C23,Begegnungen!$I$150=C23,Begegnungen!$I$151=C23,Begegnungen!$I$152=C23,Begegnungen!$I$153=C23,Begegnungen!$I$154=C23,Begegnungen!$I$155=C23),Begegnungen!$K$159,IF(OR(Begegnungen!$K$149=C23,Begegnungen!$K$150=C23,Begegnungen!$K$151=C23,Begegnungen!$K$152=C23,Begegnungen!$K$153=C23,Begegnungen!$K$154=C23,Begegnungen!$K$155=C23),Begegnungen!$I$159,""))</f>
        <v/>
      </c>
      <c r="X23" s="66" t="str">
        <f>IF(OR(Begegnungen!$C182=C23,Begegnungen!$C$166=C23,Begegnungen!$C$167=C23,Begegnungen!$C$168=C23,Begegnungen!$C$169=C23,Begegnungen!$C$170=C23,Begegnungen!$C$171=C23),Begegnungen!$E$175,IF(OR(Begegnungen!$E$165=C23,Begegnungen!$E$166=C23,Begegnungen!$E$167=C23,Begegnungen!$E$168=C23,Begegnungen!$E$169=C23,Begegnungen!$E$170=C23,Begegnungen!$E$171=C23),Begegnungen!$C$175,""))</f>
        <v/>
      </c>
      <c r="Y23" s="66" t="str">
        <f>IF(OR(Begegnungen!$I182=C23,Begegnungen!$I$166=C23,Begegnungen!$I$167=C23,Begegnungen!$I$168=C23,Begegnungen!$I$169=C23,Begegnungen!$I$170=C23,Begegnungen!$I$171=C23),Begegnungen!$K$175,IF(OR(Begegnungen!$K$165=C23,Begegnungen!$K$166=C23,Begegnungen!$K$167=C23,Begegnungen!$K$168=C23,Begegnungen!$K$169=C23,Begegnungen!$K$170=C23,Begegnungen!$K$171=C23),Begegnungen!$I$175,""))</f>
        <v/>
      </c>
      <c r="Z23" s="66" t="str">
        <f>IF(OR(Begegnungen!$C198=C23,Begegnungen!$C$182=C23,Begegnungen!$C$183=C23,Begegnungen!$C$184=C23,Begegnungen!$C$185=C23,Begegnungen!$C$186=C23,Begegnungen!$C$187=C23),Begegnungen!$E$191,IF(OR(Begegnungen!$E$181=C23,Begegnungen!$E$182=C23,Begegnungen!$E$183=C23,Begegnungen!$E$184=C23,Begegnungen!$E$185=C23,Begegnungen!$E$186=C23,Begegnungen!$E$187=C23),Begegnungen!$C$191,""))</f>
        <v/>
      </c>
      <c r="AA23" s="66" t="str">
        <f>IF(OR(Begegnungen!$I198=C23,Begegnungen!$I$182=C23,Begegnungen!$I$183=C23,Begegnungen!$I$184=C23,Begegnungen!$I$185=C23,Begegnungen!$I$186=C23,Begegnungen!$I$187=C23),Begegnungen!$K$191,IF(OR(Begegnungen!$K$181=C23,Begegnungen!$K$182=C23,Begegnungen!$K$183=C23,Begegnungen!$K$184=C23,Begegnungen!$K$185=C23,Begegnungen!$K$186=C23,Begegnungen!$K$187=C23),Begegnungen!$I$191,""))</f>
        <v/>
      </c>
      <c r="AB23" s="66" t="str">
        <f>IF(OR(Begegnungen!$C214=C23,Begegnungen!$C$198=C23,Begegnungen!$C$199=C23,Begegnungen!$C$200=C23,Begegnungen!$C$201=C23,Begegnungen!$C$202=C23,Begegnungen!$C$203=C23),Begegnungen!$E$207,IF(OR(Begegnungen!$E$197=C23,Begegnungen!$E$198=C23,Begegnungen!$E$199=C23,Begegnungen!$E$200=C23,Begegnungen!$E$201=C23,Begegnungen!$E$202=C23,Begegnungen!$E$203=C23),Begegnungen!$C$207,""))</f>
        <v/>
      </c>
      <c r="AC23" s="66" t="str">
        <f>IF(OR(Begegnungen!$I214=C23,Begegnungen!$I$198=C23,Begegnungen!$I$199=C23,Begegnungen!$I$200=C23,Begegnungen!$I$201=C23,Begegnungen!$I$202=C23,Begegnungen!$I$203=C23),Begegnungen!$K$207,IF(OR(Begegnungen!$K$197=C23,Begegnungen!$K$198=C23,Begegnungen!$K$199=C23,Begegnungen!$K$200=C23,Begegnungen!$K$201=C23,Begegnungen!$K$202=C23,Begegnungen!$K$203=C23),Begegnungen!$I$207,""))</f>
        <v/>
      </c>
      <c r="AD23" s="66" t="str">
        <f>IF(OR(Begegnungen!$C230=C23,Begegnungen!$C$214=C23,Begegnungen!$C$215=C23,Begegnungen!$C$216=C23,Begegnungen!$C$217=C23,Begegnungen!$C$218=C23,Begegnungen!$C$219=C23),Begegnungen!$E$223,IF(OR(Begegnungen!$E$213=C23,Begegnungen!$E$214=C23,Begegnungen!$E$215=C23,Begegnungen!$E$216=C23,Begegnungen!$E$217=C23,Begegnungen!$E$218=C23,Begegnungen!$E$219=C23),Begegnungen!$C$223,""))</f>
        <v/>
      </c>
      <c r="AE23" s="66" t="str">
        <f>IF(OR(Begegnungen!$I230=C23,Begegnungen!$I$214=C23,Begegnungen!$I$215=C23,Begegnungen!$I$216=C23,Begegnungen!$I$217=C23,Begegnungen!$I$218=C23,Begegnungen!$I$219=C23),Begegnungen!$K$223,IF(OR(Begegnungen!$K$213=C23,Begegnungen!$K$214=C23,Begegnungen!$K$215=C23,Begegnungen!$K$216=C23,Begegnungen!$K$217=C23,Begegnungen!$K$218=C23,Begegnungen!$K$219=C23),Begegnungen!$I$223,""))</f>
        <v/>
      </c>
      <c r="AF23" s="136" t="str">
        <f>IF(OR(Begegnungen!$C246=C23,Begegnungen!$C$230=C23,Begegnungen!$C$231=C23,Begegnungen!$C$232=C23,Begegnungen!$C$233=C23,Begegnungen!$C$234=C23,Begegnungen!$C$235=C23),Begegnungen!$E$239,IF(OR(Begegnungen!$E$229=C23,Begegnungen!$E$230=C23,Begegnungen!$E$231=C23,Begegnungen!$E$232=C23,Begegnungen!$E$233=C23,Begegnungen!$E$234=C23,Begegnungen!$E$235=C23),Begegnungen!$C$239,""))</f>
        <v/>
      </c>
      <c r="AG23" s="66" t="str">
        <f>IF(OR(Begegnungen!$I246=C23,Begegnungen!$I$230=C23,Begegnungen!$I$231=C23,Begegnungen!$I$232=C23,Begegnungen!$I$233=C23,Begegnungen!$I$234=C23,Begegnungen!$I$235=C23),Begegnungen!$K$239,IF(OR(Begegnungen!$K$229=C23,Begegnungen!$K$230=C23,Begegnungen!$K$231=C23,Begegnungen!$K$232=C23,Begegnungen!$K$233=C23,Begegnungen!$K$234=C23,Begegnungen!$K$235=C23),Begegnungen!$I$239,""))</f>
        <v/>
      </c>
      <c r="AH23" s="66" t="str">
        <f>IF(OR(Begegnungen!$C262=C23,Begegnungen!$C$246=C23,Begegnungen!$C$247=C23,Begegnungen!$C$248=C23,Begegnungen!$C$249=C23,Begegnungen!$C$250=C23,Begegnungen!$C$251=C23),Begegnungen!$E$255,IF(OR(Begegnungen!$E$245=C23,Begegnungen!$E$246=C23,Begegnungen!$E$247=C23,Begegnungen!$E$248=C23,Begegnungen!$E$249=C23,Begegnungen!$E$250=C23,Begegnungen!$E$251=C23),Begegnungen!$C$255,""))</f>
        <v/>
      </c>
      <c r="AI23" s="66" t="str">
        <f>IF(OR(Begegnungen!$I262=C23,Begegnungen!$I$246=C23,Begegnungen!$I$247=C23,Begegnungen!$I$248=C23,Begegnungen!$I$249=C23,Begegnungen!$I$250=C23,Begegnungen!$I$251=C23),Begegnungen!$K$255,IF(OR(Begegnungen!$K$245=C23,Begegnungen!$K$246=C23,Begegnungen!$K$247=C23,Begegnungen!$K$248=C23,Begegnungen!$K$249=C23,Begegnungen!$K$250=C23,Begegnungen!$K$251=C23),Begegnungen!$I$255,""))</f>
        <v/>
      </c>
      <c r="AJ23" s="66">
        <f>IF(OR(Begegnungen!$C278=C23,Begegnungen!$C$262=C23,Begegnungen!$C$263=C23,Begegnungen!$C$264=C23,Begegnungen!$C$265=C23,Begegnungen!$C$266=C23,Begegnungen!$C$267=C23),Begegnungen!$E$271,IF(OR(Begegnungen!$E$261=C23,Begegnungen!$E$262=C23,Begegnungen!$E$263=C23,Begegnungen!$E$264=C23,Begegnungen!$E$265=C23,Begegnungen!$E$266=C23,Begegnungen!$E$267=C23),Begegnungen!$C$271,""))</f>
        <v>5</v>
      </c>
      <c r="AK23" s="66">
        <f>IF(OR(Begegnungen!$I278=C23,Begegnungen!$I$262=C23,Begegnungen!$I$263=C23,Begegnungen!$I$264=C23,Begegnungen!$I$265=C23,Begegnungen!$I$266=C23,Begegnungen!$I$267=C23),Begegnungen!$K$271,IF(OR(Begegnungen!$K$261=C23,Begegnungen!$K$262=C23,Begegnungen!$K$263=C23,Begegnungen!$K$264=C23,Begegnungen!$K$265=C23,Begegnungen!$K$266=C23,Begegnungen!$K$267=C23),Begegnungen!$I$271,""))</f>
        <v>1</v>
      </c>
      <c r="AL23" s="66">
        <f>IF(OR(Begegnungen!$C294=C23,Begegnungen!$C$278=C23,Begegnungen!$C$279=C23,Begegnungen!$C$280=C23,Begegnungen!$C$281=C23,Begegnungen!$C$282=C23,Begegnungen!$C$283=C23),Begegnungen!$E$287,IF(OR(Begegnungen!$E$277=C23,Begegnungen!$E$278=C23,Begegnungen!$E$279=C23,Begegnungen!$E$280=C23,Begegnungen!$E$281=C23,Begegnungen!$E$282=C23,Begegnungen!$E$283=C23),Begegnungen!$C$287,""))</f>
        <v>3</v>
      </c>
      <c r="AM23" s="136">
        <f>IF(OR(Begegnungen!$I294=C23,Begegnungen!$I$278=C23,Begegnungen!$I$279=C23,Begegnungen!$I$280=C23,Begegnungen!$I$281=C23,Begegnungen!$I$282=C23,Begegnungen!$I$283=C23),Begegnungen!$K$287,IF(OR(Begegnungen!$K$277=C23,Begegnungen!$K$278=C23,Begegnungen!$K$279=C23,Begegnungen!$K$280=C23,Begegnungen!$K$281=C23,Begegnungen!$K$282=C23,Begegnungen!$K$283=C23),Begegnungen!$I$287,""))</f>
        <v>2</v>
      </c>
      <c r="AN23" s="66">
        <f>IF(OR(Begegnungen!$C310=C23,Begegnungen!$C$294=C23,Begegnungen!$C$295=C23,Begegnungen!$C$296=C23,Begegnungen!$C$297=C23,Begegnungen!$C$298=C23,Begegnungen!$C$299=C23),Begegnungen!$E$303,IF(OR(Begegnungen!$E$293=C23,Begegnungen!$E$294=C23,Begegnungen!$E$295=C23,Begegnungen!$E$296=C23,Begegnungen!$E$297=C23,Begegnungen!$E$298=C23,Begegnungen!$E$299=C23),Begegnungen!$C$303,""))</f>
        <v>0</v>
      </c>
      <c r="AO23" s="136">
        <f>IF(OR(Begegnungen!$I310=C23,Begegnungen!$I$294=C23,Begegnungen!$I$295=C23,Begegnungen!$I$296=C23,Begegnungen!$I$297=C23,Begegnungen!$I$298=C23,Begegnungen!$I$299=C23),Begegnungen!$K$303,IF(OR(Begegnungen!$K$293=C23,Begegnungen!$K$294=C23,Begegnungen!$K$295=C23,Begegnungen!$K$296=C23,Begegnungen!$K$297=C23,Begegnungen!$K$298=C23,Begegnungen!$K$299=C23),Begegnungen!$I$303,""))</f>
        <v>0</v>
      </c>
      <c r="AP23" s="136">
        <f>IF(OR(Begegnungen!$C326=C23,Begegnungen!$C$310=C23,Begegnungen!$C$311=C23,Begegnungen!$C$312=C23,Begegnungen!$C$313=C23,Begegnungen!$C$314=C23,Begegnungen!$C$315=C23),Begegnungen!$E$319,IF(OR(Begegnungen!$E$309=C23,Begegnungen!$E$310=C23,Begegnungen!$E$311=C23,Begegnungen!$E$312=C23,Begegnungen!$E$313=C23,Begegnungen!$E$314=C23,Begegnungen!$E$315=C23),Begegnungen!$C$319,""))</f>
        <v>7</v>
      </c>
      <c r="AQ23" s="66">
        <f>IF(OR(Begegnungen!$I326=C23,Begegnungen!$I$310=C23,Begegnungen!$I$311=C23,Begegnungen!$I$312=C23,Begegnungen!$I$313=C23,Begegnungen!$I$314=C23,Begegnungen!$I$315=C23),Begegnungen!$K$319,IF(OR(Begegnungen!$K$309=C23,Begegnungen!$K$310=C23,Begegnungen!$K$311=C23,Begegnungen!$K$312=C23,Begegnungen!$K$313=C23,Begegnungen!$K$314=C23,Begegnungen!$K$315=C23),Begegnungen!$I$319,""))</f>
        <v>1</v>
      </c>
      <c r="AR23" s="25">
        <f t="shared" si="0"/>
        <v>36</v>
      </c>
      <c r="AS23" s="139">
        <f>Spiele!AS23</f>
        <v>16</v>
      </c>
      <c r="AT23" s="140">
        <f t="shared" si="1"/>
        <v>2.25</v>
      </c>
    </row>
    <row r="24" spans="2:46" x14ac:dyDescent="0.25">
      <c r="B24" s="3">
        <v>19</v>
      </c>
      <c r="C24" s="65" t="s">
        <v>122</v>
      </c>
      <c r="D24" s="273" t="str">
        <f>IF(OR(Begegnungen!$C$3=C24,Begegnungen!$C$4=C24,Begegnungen!$C$5=C24,Begegnungen!$C$6=C24,Begegnungen!$C$7=C24,Begegnungen!$C$8=C24,Begegnungen!$C$9=C24),Begegnungen!$E$13,IF(OR(Begegnungen!$E$3=C24,Begegnungen!$E$4=C24,Begegnungen!$E$5=C24,Begegnungen!$E$6=C24,Begegnungen!$E$7=C24,Begegnungen!$E$8=C24,Begegnungen!$E$9=C24),Begegnungen!$C$13,""))</f>
        <v/>
      </c>
      <c r="E24" s="273" t="str">
        <f>IF(OR(Begegnungen!$I$3=C24,Begegnungen!$I$4=C24,Begegnungen!$I$5=C24,Begegnungen!$I$6=C24,Begegnungen!$I$7=C24,Begegnungen!$I$8=C24,Begegnungen!$I$9=C24),Begegnungen!$K$13,IF(OR(Begegnungen!$K$3=C24,Begegnungen!$K$4=C24,Begegnungen!$K$5=C24,Begegnungen!$K$6=C24,Begegnungen!$K$7=C24,Begegnungen!$K$8=C24,Begegnungen!$K$9=C24),Begegnungen!$I$13,""))</f>
        <v/>
      </c>
      <c r="F24" s="273">
        <f>IF(OR(Begegnungen!$C$19=C24,Begegnungen!$C$20=C24,Begegnungen!$C$21=C24,Begegnungen!$C$22=C24,Begegnungen!$C$23=C24,Begegnungen!$C$24=C24,Begegnungen!$C$25=C24),Begegnungen!$E$29,IF(OR(Begegnungen!$E$19=C24,Begegnungen!$E$20=C24,Begegnungen!$E$21=C24,Begegnungen!$E$22=C24,Begegnungen!$E$23=C24,Begegnungen!$E$24=C24,Begegnungen!$E$25=C24),Begegnungen!$C$29,""))</f>
        <v>6</v>
      </c>
      <c r="G24" s="273">
        <f>IF(OR(Begegnungen!$I$19=C24,Begegnungen!$I$20=C24,Begegnungen!$I$21=C24,Begegnungen!$I$22=C24,Begegnungen!$I$23=C24,Begegnungen!$I$24=C24,Begegnungen!$I$25=C24),Begegnungen!$K$29,IF(OR(Begegnungen!$K$19=C24,Begegnungen!$K$20=C24,Begegnungen!$K$21=C24,Begegnungen!$K$22=C24,Begegnungen!$K$23=C24,Begegnungen!$K$24=C24,Begegnungen!$K$25=C24),Begegnungen!$I$29,""))</f>
        <v>2</v>
      </c>
      <c r="H24" s="273">
        <f>IF(OR(Begegnungen!$C$35=C24,Begegnungen!$C$36=C24,Begegnungen!$C$37=C24,Begegnungen!$C$38=C24,Begegnungen!$C$39=C24,Begegnungen!$C$40=C24,Begegnungen!$C$41=C24),Begegnungen!$E$46,IF(OR(Begegnungen!$E$35=C24,Begegnungen!$E$36=C24,Begegnungen!$E$37=C24,Begegnungen!$E$38=C24,Begegnungen!$E$39=C24,Begegnungen!$E$40=C24,Begegnungen!$E$41=C24),Begegnungen!$C$46,""))</f>
        <v>1</v>
      </c>
      <c r="I24" s="273">
        <f>IF(OR(Begegnungen!$I$35=C24,Begegnungen!$I$36=C24,Begegnungen!$I$37=C24,Begegnungen!$I$38=C24,Begegnungen!$I$39=C24,Begegnungen!$I$40=C24,Begegnungen!$I$41=C24),Begegnungen!$K$46,IF(OR(Begegnungen!$K$35=C24,Begegnungen!$K$36=C24,Begegnungen!$K$37=C24,Begegnungen!$K$38=C24,Begegnungen!$K$39=C24,Begegnungen!$K$40=C24,Begegnungen!$K$41=C24),Begegnungen!$I$46,""))</f>
        <v>3</v>
      </c>
      <c r="J24" s="136">
        <f>IF(OR(Begegnungen!$C$52=C24,Begegnungen!$C$53=C24,Begegnungen!$C$54=C24,Begegnungen!$C$55=C24,Begegnungen!$C$56=C24,Begegnungen!$C$57=C24,Begegnungen!$C$58=C24),Begegnungen!$E$62,IF(OR(Begegnungen!$E$52=C24,Begegnungen!$E$53=C24,Begegnungen!$E$54=C24,Begegnungen!$E$55=C24,Begegnungen!$E$56=C24,Begegnungen!$E$57=C24,Begegnungen!$E$58=C24),Begegnungen!$C$62,""))</f>
        <v>3</v>
      </c>
      <c r="K24" s="273" t="str">
        <f>IF(OR(Begegnungen!$I$52=C24,Begegnungen!$I$53=C24,Begegnungen!$I$54=C24,Begegnungen!$I$55=C24,Begegnungen!$I$56=C24,Begegnungen!$I$57=C24,Begegnungen!$I$58=C24),Begegnungen!$K$62,IF(OR(Begegnungen!$K$52=C24,Begegnungen!$K$53=C24,Begegnungen!$K$54=C24,Begegnungen!$K$55=C24,Begegnungen!$K$56=C24,Begegnungen!$K$57=C24,Begegnungen!$K$58=C24),Begegnungen!$I$62,""))</f>
        <v/>
      </c>
      <c r="L24" s="136">
        <f>IF(OR(Begegnungen!$C86=C24,Begegnungen!$C$69=C24,Begegnungen!$C$70=C24,Begegnungen!$C$71=C24,Begegnungen!$C$72=C24,Begegnungen!$C$73=C24,Begegnungen!$C$74=C24),Begegnungen!$E$78,IF(OR(Begegnungen!$E$68=C24,Begegnungen!$E$69=C24,Begegnungen!$E$70=C24,Begegnungen!$E$71=C24,Begegnungen!$E$72=C24,Begegnungen!$E$73=C24,Begegnungen!$E$74=C24),Begegnungen!$C$78,""))</f>
        <v>4</v>
      </c>
      <c r="M24" s="273">
        <f>IF(OR(Begegnungen!$I86=C24,Begegnungen!$I$69=C24,Begegnungen!$I$70=C24,Begegnungen!$I$71=C24,Begegnungen!$I$72=C24,Begegnungen!$I$73=C24,Begegnungen!$I$74=C24),Begegnungen!$K$78,IF(OR(Begegnungen!$K$68=C24,Begegnungen!$K$69=C24,Begegnungen!$K$70=C24,Begegnungen!$K$71=C24,Begegnungen!$K$72=C24,Begegnungen!$K$73=C24,Begegnungen!$K$74=C24),Begegnungen!$I$78,""))</f>
        <v>1</v>
      </c>
      <c r="N24" s="273">
        <f>IF(OR(Begegnungen!$C103=C24,Begegnungen!$C$85=C24,Begegnungen!$C$86=C24,Begegnungen!$C$87=C24,Begegnungen!$C$88=C24,Begegnungen!$C$89=C24,Begegnungen!$C$90=C24),Begegnungen!$E$95,IF(OR(Begegnungen!$E$84=C24,Begegnungen!$E$85=C24,Begegnungen!$E$86=C24,Begegnungen!$E$87=C24,Begegnungen!$E$88=C24,Begegnungen!$E$89=C24,Begegnungen!$E$90=C24),Begegnungen!$C$95,""))</f>
        <v>1</v>
      </c>
      <c r="O24" s="273">
        <f>IF(OR(Begegnungen!$I103=C24,Begegnungen!$I$85=C24,Begegnungen!$I$86=C24,Begegnungen!$I$87=C24,Begegnungen!$I$88=C24,Begegnungen!$I$89=C24,Begegnungen!$I$90=C24,Begegnungen!$I$91=C24),Begegnungen!$K$95,IF(OR(Begegnungen!$K$84=C24,Begegnungen!$K$85=C24,Begegnungen!$K$86=C24,Begegnungen!$K$87=C24,Begegnungen!$K$88=C24,Begegnungen!$K$89=C24,Begegnungen!$K$90=C24,Begegnungen!$K$91=C24),Begegnungen!$I$95,""))</f>
        <v>1</v>
      </c>
      <c r="P24" s="273">
        <f>IF(OR(Begegnungen!$C119=C24,Begegnungen!$C$102=C24,Begegnungen!$C$103=C24,Begegnungen!$C$104=C24,Begegnungen!$C$105=C24,Begegnungen!$C$106=C24,Begegnungen!$C$107=C24),Begegnungen!$E$111,IF(OR(Begegnungen!$E$101=C24,Begegnungen!$E$102=C24,Begegnungen!$E$103=C24,Begegnungen!$E$104=C24,Begegnungen!$E$105=C24,Begegnungen!$E$106=C24,Begegnungen!$E$107=C24),Begegnungen!$C$111,""))</f>
        <v>3</v>
      </c>
      <c r="Q24" s="273">
        <f>IF(OR(Begegnungen!$I119=C24,Begegnungen!$I$102=C24,Begegnungen!$I$103=C24,Begegnungen!$I$104=C24,Begegnungen!$I$105=C24,Begegnungen!$I$106=C24,Begegnungen!$I$107=C24),Begegnungen!$K$111,IF(OR(Begegnungen!$K$101=C24,Begegnungen!$K$102=C24,Begegnungen!$K$103=C24,Begegnungen!$K$104=C24,Begegnungen!$K$105=C24,Begegnungen!$K$106=C24,Begegnungen!$K$107=C24),Begegnungen!$I$111,""))</f>
        <v>0</v>
      </c>
      <c r="R24" s="136">
        <f>IF(OR(Begegnungen!$C135=C24,Begegnungen!$C$118=C24,Begegnungen!$C$119=C24,Begegnungen!$C$120=C24,Begegnungen!$C$121=C24,Begegnungen!$C$122=C24,Begegnungen!$C$123=C24),Begegnungen!$E$127,IF(OR(Begegnungen!$E$117=C24,Begegnungen!$E$118=C24,Begegnungen!$E$119=C24,Begegnungen!$E$120=C24,Begegnungen!$E$121=C24,Begegnungen!$E$122=C24,Begegnungen!$E$123=C24),Begegnungen!$C$127,""))</f>
        <v>4</v>
      </c>
      <c r="S24" s="273" t="str">
        <f>IF(OR(Begegnungen!$I$117=C24,Begegnungen!$I$118=C24,Begegnungen!$I$119=C24,Begegnungen!$I$120=C24,Begegnungen!$I$121=C24,Begegnungen!$I$122=C24,Begegnungen!$I$123=C24),Begegnungen!$K$127,IF(OR(Begegnungen!$K$117=C24,Begegnungen!$K$118=C24,Begegnungen!$K$119=C24,Begegnungen!$K$120=C24,Begegnungen!$K$121=C24,Begegnungen!$K$122=C24,Begegnungen!$K$123=C24),Begegnungen!$I$127,""))</f>
        <v/>
      </c>
      <c r="T24" s="273" t="str">
        <f>IF(OR(Begegnungen!$C151=C24,Begegnungen!$C$134=C24,Begegnungen!$C$135=C24,Begegnungen!$C$136=C24,Begegnungen!$C$137=C24,Begegnungen!$C$138=C24,Begegnungen!$C$139=C24),Begegnungen!$E$143,IF(OR(Begegnungen!$E$133=C24,Begegnungen!$E$134=C24,Begegnungen!$E$135=C24,Begegnungen!$E$136=C24,Begegnungen!$E$137=C24,Begegnungen!$E$138=C24,Begegnungen!$E$139=C24),Begegnungen!$C$143,""))</f>
        <v/>
      </c>
      <c r="U24" s="273">
        <f>IF(OR(Begegnungen!$I151=C24,Begegnungen!$I$134=C24,Begegnungen!$I$135=C24,Begegnungen!$I$136=C24,Begegnungen!$I$137=C24,Begegnungen!$I$138=C24,Begegnungen!$I$139=C24),Begegnungen!$K$143,IF(OR(Begegnungen!$K$133=C24,Begegnungen!$K$134=C24,Begegnungen!$K$135=C24,Begegnungen!$K$136=C24,Begegnungen!$K$137=C24,Begegnungen!$K$138=C24,Begegnungen!$K$139=C24),Begegnungen!$I$143,""))</f>
        <v>1</v>
      </c>
      <c r="V24" s="273" t="str">
        <f>IF(OR(Begegnungen!$C167=C24,Begegnungen!$C$150=C24,Begegnungen!$C$151=C24,Begegnungen!$C$152=C24,Begegnungen!$C$153=C24,Begegnungen!$C$154=C24,Begegnungen!$C$155=C24),Begegnungen!$E$159,IF(OR(Begegnungen!$E$149=C24,Begegnungen!$E$150=C24,Begegnungen!$E$151=C24,Begegnungen!$E$152=C24,Begegnungen!$E$153=C24,Begegnungen!$E$154=C24,Begegnungen!$E$155=C24),Begegnungen!$C$159,""))</f>
        <v/>
      </c>
      <c r="W24" s="273" t="str">
        <f>IF(OR(Begegnungen!$I167=C24,Begegnungen!$I$150=C24,Begegnungen!$I$151=C24,Begegnungen!$I$152=C24,Begegnungen!$I$153=C24,Begegnungen!$I$154=C24,Begegnungen!$I$155=C24),Begegnungen!$K$159,IF(OR(Begegnungen!$K$149=C24,Begegnungen!$K$150=C24,Begegnungen!$K$151=C24,Begegnungen!$K$152=C24,Begegnungen!$K$153=C24,Begegnungen!$K$154=C24,Begegnungen!$K$155=C24),Begegnungen!$I$159,""))</f>
        <v/>
      </c>
      <c r="X24" s="273" t="str">
        <f>IF(OR(Begegnungen!$C183=C24,Begegnungen!$C$166=C24,Begegnungen!$C$167=C24,Begegnungen!$C$168=C24,Begegnungen!$C$169=C24,Begegnungen!$C$170=C24,Begegnungen!$C$171=C24),Begegnungen!$E$175,IF(OR(Begegnungen!$E$165=C24,Begegnungen!$E$166=C24,Begegnungen!$E$167=C24,Begegnungen!$E$168=C24,Begegnungen!$E$169=C24,Begegnungen!$E$170=C24,Begegnungen!$E$171=C24),Begegnungen!$C$175,""))</f>
        <v/>
      </c>
      <c r="Y24" s="273" t="str">
        <f>IF(OR(Begegnungen!$I183=C24,Begegnungen!$I$166=C24,Begegnungen!$I$167=C24,Begegnungen!$I$168=C24,Begegnungen!$I$169=C24,Begegnungen!$I$170=C24,Begegnungen!$I$171=C24),Begegnungen!$K$175,IF(OR(Begegnungen!$K$165=C24,Begegnungen!$K$166=C24,Begegnungen!$K$167=C24,Begegnungen!$K$168=C24,Begegnungen!$K$169=C24,Begegnungen!$K$170=C24,Begegnungen!$K$171=C24),Begegnungen!$I$175,""))</f>
        <v/>
      </c>
      <c r="Z24" s="273" t="str">
        <f>IF(OR(Begegnungen!$C199=C24,Begegnungen!$C$182=C24,Begegnungen!$C$183=C24,Begegnungen!$C$184=C24,Begegnungen!$C$185=C24,Begegnungen!$C$186=C24,Begegnungen!$C$187=C24),Begegnungen!$E$191,IF(OR(Begegnungen!$E$181=C24,Begegnungen!$E$182=C24,Begegnungen!$E$183=C24,Begegnungen!$E$184=C24,Begegnungen!$E$185=C24,Begegnungen!$E$186=C24,Begegnungen!$E$187=C24),Begegnungen!$C$191,""))</f>
        <v/>
      </c>
      <c r="AA24" s="273" t="str">
        <f>IF(OR(Begegnungen!$I199=C24,Begegnungen!$I$182=C24,Begegnungen!$I$183=C24,Begegnungen!$I$184=C24,Begegnungen!$I$185=C24,Begegnungen!$I$186=C24,Begegnungen!$I$187=C24),Begegnungen!$K$191,IF(OR(Begegnungen!$K$181=C24,Begegnungen!$K$182=C24,Begegnungen!$K$183=C24,Begegnungen!$K$184=C24,Begegnungen!$K$185=C24,Begegnungen!$K$186=C24,Begegnungen!$K$187=C24),Begegnungen!$I$191,""))</f>
        <v/>
      </c>
      <c r="AB24" s="273" t="str">
        <f>IF(OR(Begegnungen!$C215=C24,Begegnungen!$C$198=C24,Begegnungen!$C$199=C24,Begegnungen!$C$200=C24,Begegnungen!$C$201=C24,Begegnungen!$C$202=C24,Begegnungen!$C$203=C24),Begegnungen!$E$207,IF(OR(Begegnungen!$E$197=C24,Begegnungen!$E$198=C24,Begegnungen!$E$199=C24,Begegnungen!$E$200=C24,Begegnungen!$E$201=C24,Begegnungen!$E$202=C24,Begegnungen!$E$203=C24),Begegnungen!$C$207,""))</f>
        <v/>
      </c>
      <c r="AC24" s="273" t="str">
        <f>IF(OR(Begegnungen!$I215=C24,Begegnungen!$I$198=C24,Begegnungen!$I$199=C24,Begegnungen!$I$200=C24,Begegnungen!$I$201=C24,Begegnungen!$I$202=C24,Begegnungen!$I$203=C24),Begegnungen!$K$207,IF(OR(Begegnungen!$K$197=C24,Begegnungen!$K$198=C24,Begegnungen!$K$199=C24,Begegnungen!$K$200=C24,Begegnungen!$K$201=C24,Begegnungen!$K$202=C24,Begegnungen!$K$203=C24),Begegnungen!$I$207,""))</f>
        <v/>
      </c>
      <c r="AD24" s="273">
        <f>IF(OR(Begegnungen!$C231=C24,Begegnungen!$C$214=C24,Begegnungen!$C$215=C24,Begegnungen!$C$216=C24,Begegnungen!$C$217=C24,Begegnungen!$C$218=C24,Begegnungen!$C$219=C24),Begegnungen!$E$223,IF(OR(Begegnungen!$E$213=C24,Begegnungen!$E$214=C24,Begegnungen!$E$215=C24,Begegnungen!$E$216=C24,Begegnungen!$E$217=C24,Begegnungen!$E$218=C24,Begegnungen!$E$219=C24),Begegnungen!$C$223,""))</f>
        <v>5</v>
      </c>
      <c r="AE24" s="273">
        <f>IF(OR(Begegnungen!$I231=C24,Begegnungen!$I$214=C24,Begegnungen!$I$215=C24,Begegnungen!$I$216=C24,Begegnungen!$I$217=C24,Begegnungen!$I$218=C24,Begegnungen!$I$219=C24),Begegnungen!$K$223,IF(OR(Begegnungen!$K$213=C24,Begegnungen!$K$214=C24,Begegnungen!$K$215=C24,Begegnungen!$K$216=C24,Begegnungen!$K$217=C24,Begegnungen!$K$218=C24,Begegnungen!$K$219=C24),Begegnungen!$I$223,""))</f>
        <v>4</v>
      </c>
      <c r="AF24" s="136">
        <f>IF(OR(Begegnungen!$C247=C24,Begegnungen!$C$230=C24,Begegnungen!$C$231=C24,Begegnungen!$C$232=C24,Begegnungen!$C$233=C24,Begegnungen!$C$234=C24,Begegnungen!$C$235=C24),Begegnungen!$E$239,IF(OR(Begegnungen!$E$229=C24,Begegnungen!$E$230=C24,Begegnungen!$E$231=C24,Begegnungen!$E$232=C24,Begegnungen!$E$233=C24,Begegnungen!$E$234=C24,Begegnungen!$E$235=C24),Begegnungen!$C$239,""))</f>
        <v>0</v>
      </c>
      <c r="AG24" s="273">
        <f>IF(OR(Begegnungen!$I247=C24,Begegnungen!$I$230=C24,Begegnungen!$I$231=C24,Begegnungen!$I$232=C24,Begegnungen!$I$233=C24,Begegnungen!$I$234=C24,Begegnungen!$I$235=C24),Begegnungen!$K$239,IF(OR(Begegnungen!$K$229=C24,Begegnungen!$K$230=C24,Begegnungen!$K$231=C24,Begegnungen!$K$232=C24,Begegnungen!$K$233=C24,Begegnungen!$K$234=C24,Begegnungen!$K$235=C24),Begegnungen!$I$239,""))</f>
        <v>5</v>
      </c>
      <c r="AH24" s="273" t="str">
        <f>IF(OR(Begegnungen!$C263=C24,Begegnungen!$C$246=C24,Begegnungen!$C$247=C24,Begegnungen!$C$248=C24,Begegnungen!$C$249=C24,Begegnungen!$C$250=C24,Begegnungen!$C$251=C24),Begegnungen!$E$255,IF(OR(Begegnungen!$E$245=C24,Begegnungen!$E$246=C24,Begegnungen!$E$247=C24,Begegnungen!$E$248=C24,Begegnungen!$E$249=C24,Begegnungen!$E$250=C24,Begegnungen!$E$251=C24),Begegnungen!$C$255,""))</f>
        <v/>
      </c>
      <c r="AI24" s="273">
        <f>IF(OR(Begegnungen!$I263=C24,Begegnungen!$I$246=C24,Begegnungen!$I$247=C24,Begegnungen!$I$248=C24,Begegnungen!$I$249=C24,Begegnungen!$I$250=C24,Begegnungen!$I$251=C24),Begegnungen!$K$255,IF(OR(Begegnungen!$K$245=C24,Begegnungen!$K$246=C24,Begegnungen!$K$247=C24,Begegnungen!$K$248=C24,Begegnungen!$K$249=C24,Begegnungen!$K$250=C24,Begegnungen!$K$251=C24),Begegnungen!$I$255,""))</f>
        <v>2</v>
      </c>
      <c r="AJ24" s="273" t="str">
        <f>IF(OR(Begegnungen!$C279=C24,Begegnungen!$C$262=C24,Begegnungen!$C$263=C24,Begegnungen!$C$264=C24,Begegnungen!$C$265=C24,Begegnungen!$C$266=C24,Begegnungen!$C$267=C24),Begegnungen!$E$271,IF(OR(Begegnungen!$E$261=C24,Begegnungen!$E$262=C24,Begegnungen!$E$263=C24,Begegnungen!$E$264=C24,Begegnungen!$E$265=C24,Begegnungen!$E$266=C24,Begegnungen!$E$267=C24),Begegnungen!$C$271,""))</f>
        <v/>
      </c>
      <c r="AK24" s="273">
        <f>IF(OR(Begegnungen!$I279=C24,Begegnungen!$I$262=C24,Begegnungen!$I$263=C24,Begegnungen!$I$264=C24,Begegnungen!$I$265=C24,Begegnungen!$I$266=C24,Begegnungen!$I$267=C24),Begegnungen!$K$271,IF(OR(Begegnungen!$K$261=C24,Begegnungen!$K$262=C24,Begegnungen!$K$263=C24,Begegnungen!$K$264=C24,Begegnungen!$K$265=C24,Begegnungen!$K$266=C24,Begegnungen!$K$267=C24),Begegnungen!$I$271,""))</f>
        <v>1</v>
      </c>
      <c r="AL24" s="273">
        <f>IF(OR(Begegnungen!$C295=C24,Begegnungen!$C$278=C24,Begegnungen!$C$279=C24,Begegnungen!$C$280=C24,Begegnungen!$C$281=C24,Begegnungen!$C$282=C24,Begegnungen!$C$283=C24),Begegnungen!$E$287,IF(OR(Begegnungen!$E$277=C24,Begegnungen!$E$278=C24,Begegnungen!$E$279=C24,Begegnungen!$E$280=C24,Begegnungen!$E$281=C24,Begegnungen!$E$282=C24,Begegnungen!$E$283=C24),Begegnungen!$C$287,""))</f>
        <v>5</v>
      </c>
      <c r="AM24" s="136">
        <f>IF(OR(Begegnungen!$I295=C24,Begegnungen!$I$278=C24,Begegnungen!$I$279=C24,Begegnungen!$I$280=C24,Begegnungen!$I$281=C24,Begegnungen!$I$282=C24,Begegnungen!$I$283=C24),Begegnungen!$K$287,IF(OR(Begegnungen!$K$277=C24,Begegnungen!$K$278=C24,Begegnungen!$K$279=C24,Begegnungen!$K$280=C24,Begegnungen!$K$281=C24,Begegnungen!$K$282=C24,Begegnungen!$K$283=C24),Begegnungen!$I$287,""))</f>
        <v>3</v>
      </c>
      <c r="AN24" s="273">
        <f>IF(OR(Begegnungen!$C311=C24,Begegnungen!$C$294=C24,Begegnungen!$C$295=C24,Begegnungen!$C$296=C24,Begegnungen!$C$297=C24,Begegnungen!$C$298=C24,Begegnungen!$C$299=C24),Begegnungen!$E$303,IF(OR(Begegnungen!$E$293=C24,Begegnungen!$E$294=C24,Begegnungen!$E$295=C24,Begegnungen!$E$296=C24,Begegnungen!$E$297=C24,Begegnungen!$E$298=C24,Begegnungen!$E$299=C24),Begegnungen!$C$303,""))</f>
        <v>3</v>
      </c>
      <c r="AO24" s="136">
        <f>IF(OR(Begegnungen!$I311=C24,Begegnungen!$I$294=C24,Begegnungen!$I$295=C24,Begegnungen!$I$296=C24,Begegnungen!$I$297=C24,Begegnungen!$I$298=C24,Begegnungen!$I$299=C24),Begegnungen!$K$303,IF(OR(Begegnungen!$K$293=C24,Begegnungen!$K$294=C24,Begegnungen!$K$295=C24,Begegnungen!$K$296=C24,Begegnungen!$K$297=C24,Begegnungen!$K$298=C24,Begegnungen!$K$299=C24),Begegnungen!$I$303,""))</f>
        <v>3</v>
      </c>
      <c r="AP24" s="136">
        <f>IF(OR(Begegnungen!$C327=C24,Begegnungen!$C$310=C24,Begegnungen!$C$311=C24,Begegnungen!$C$312=C24,Begegnungen!$C$313=C24,Begegnungen!$C$314=C24,Begegnungen!$C$315=C24),Begegnungen!$E$319,IF(OR(Begegnungen!$E$309=C24,Begegnungen!$E$310=C24,Begegnungen!$E$311=C24,Begegnungen!$E$312=C24,Begegnungen!$E$313=C24,Begegnungen!$E$314=C24,Begegnungen!$E$315=C24),Begegnungen!$C$319,""))</f>
        <v>2</v>
      </c>
      <c r="AQ24" s="273">
        <f>IF(OR(Begegnungen!$I327=C24,Begegnungen!$I$310=C24,Begegnungen!$I$311=C24,Begegnungen!$I$312=C24,Begegnungen!$I$313=C24,Begegnungen!$I$314=C24,Begegnungen!$I$315=C24),Begegnungen!$K$319,IF(OR(Begegnungen!$K$309=C24,Begegnungen!$K$310=C24,Begegnungen!$K$311=C24,Begegnungen!$K$312=C24,Begegnungen!$K$313=C24,Begegnungen!$K$314=C24,Begegnungen!$K$315=C24),Begegnungen!$I$319,""))</f>
        <v>1</v>
      </c>
      <c r="AR24" s="25">
        <f t="shared" ref="AR24:AR25" si="2">SUM(D24:AQ24)</f>
        <v>64</v>
      </c>
      <c r="AS24" s="139">
        <f>Spiele!AS25</f>
        <v>25</v>
      </c>
      <c r="AT24" s="140">
        <f t="shared" ref="AT24:AT25" si="3">AR24/AS24</f>
        <v>2.56</v>
      </c>
    </row>
    <row r="25" spans="2:46" x14ac:dyDescent="0.25">
      <c r="B25" s="3">
        <v>20</v>
      </c>
      <c r="C25" s="65" t="s">
        <v>123</v>
      </c>
      <c r="D25" s="273" t="str">
        <f>IF(OR(Begegnungen!$C$3=C25,Begegnungen!$C$4=C25,Begegnungen!$C$5=C25,Begegnungen!$C$6=C25,Begegnungen!$C$7=C25,Begegnungen!$C$8=C25,Begegnungen!$C$9=C25),Begegnungen!$E$13,IF(OR(Begegnungen!$E$3=C25,Begegnungen!$E$4=C25,Begegnungen!$E$5=C25,Begegnungen!$E$6=C25,Begegnungen!$E$7=C25,Begegnungen!$E$8=C25,Begegnungen!$E$9=C25),Begegnungen!$C$13,""))</f>
        <v/>
      </c>
      <c r="E25" s="273" t="str">
        <f>IF(OR(Begegnungen!$I$3=C25,Begegnungen!$I$4=C25,Begegnungen!$I$5=C25,Begegnungen!$I$6=C25,Begegnungen!$I$7=C25,Begegnungen!$I$8=C25,Begegnungen!$I$9=C25),Begegnungen!$K$13,IF(OR(Begegnungen!$K$3=C25,Begegnungen!$K$4=C25,Begegnungen!$K$5=C25,Begegnungen!$K$6=C25,Begegnungen!$K$7=C25,Begegnungen!$K$8=C25,Begegnungen!$K$9=C25),Begegnungen!$I$13,""))</f>
        <v/>
      </c>
      <c r="F25" s="273">
        <f>IF(OR(Begegnungen!$C$19=C25,Begegnungen!$C$20=C25,Begegnungen!$C$21=C25,Begegnungen!$C$22=C25,Begegnungen!$C$23=C25,Begegnungen!$C$24=C25,Begegnungen!$C$25=C25),Begegnungen!$E$29,IF(OR(Begegnungen!$E$19=C25,Begegnungen!$E$20=C25,Begegnungen!$E$21=C25,Begegnungen!$E$22=C25,Begegnungen!$E$23=C25,Begegnungen!$E$24=C25,Begegnungen!$E$25=C25),Begegnungen!$C$29,""))</f>
        <v>6</v>
      </c>
      <c r="G25" s="273">
        <f>IF(OR(Begegnungen!$I$19=C25,Begegnungen!$I$20=C25,Begegnungen!$I$21=C25,Begegnungen!$I$22=C25,Begegnungen!$I$23=C25,Begegnungen!$I$24=C25,Begegnungen!$I$25=C25),Begegnungen!$K$29,IF(OR(Begegnungen!$K$19=C25,Begegnungen!$K$20=C25,Begegnungen!$K$21=C25,Begegnungen!$K$22=C25,Begegnungen!$K$23=C25,Begegnungen!$K$24=C25,Begegnungen!$K$25=C25),Begegnungen!$I$29,""))</f>
        <v>3</v>
      </c>
      <c r="H25" s="273">
        <f>IF(OR(Begegnungen!$C$35=C25,Begegnungen!$C$36=C25,Begegnungen!$C$37=C25,Begegnungen!$C$38=C25,Begegnungen!$C$39=C25,Begegnungen!$C$40=C25,Begegnungen!$C$41=C25),Begegnungen!$E$46,IF(OR(Begegnungen!$E$35=C25,Begegnungen!$E$36=C25,Begegnungen!$E$37=C25,Begegnungen!$E$38=C25,Begegnungen!$E$39=C25,Begegnungen!$E$40=C25,Begegnungen!$E$41=C25),Begegnungen!$C$46,""))</f>
        <v>1</v>
      </c>
      <c r="I25" s="273">
        <f>IF(OR(Begegnungen!$I$35=C25,Begegnungen!$I$36=C25,Begegnungen!$I$37=C25,Begegnungen!$I$38=C25,Begegnungen!$I$39=C25,Begegnungen!$I$40=C25,Begegnungen!$I$41=C25),Begegnungen!$K$46,IF(OR(Begegnungen!$K$35=C25,Begegnungen!$K$36=C25,Begegnungen!$K$37=C25,Begegnungen!$K$38=C25,Begegnungen!$K$39=C25,Begegnungen!$K$40=C25,Begegnungen!$K$41=C25),Begegnungen!$I$46,""))</f>
        <v>3</v>
      </c>
      <c r="J25" s="136" t="str">
        <f>IF(OR(Begegnungen!$C$52=C25,Begegnungen!$C$53=C25,Begegnungen!$C$54=C25,Begegnungen!$C$55=C25,Begegnungen!$C$56=C25,Begegnungen!$C$57=C25,Begegnungen!$C$58=C25),Begegnungen!$E$62,IF(OR(Begegnungen!$E$52=C25,Begegnungen!$E$53=C25,Begegnungen!$E$54=C25,Begegnungen!$E$55=C25,Begegnungen!$E$56=C25,Begegnungen!$E$57=C25,Begegnungen!$E$58=C25),Begegnungen!$C$62,""))</f>
        <v/>
      </c>
      <c r="K25" s="273">
        <f>IF(OR(Begegnungen!$I$52=C25,Begegnungen!$I$53=C25,Begegnungen!$I$54=C25,Begegnungen!$I$55=C25,Begegnungen!$I$56=C25,Begegnungen!$I$57=C25,Begegnungen!$I$58=C25),Begegnungen!$K$62,IF(OR(Begegnungen!$K$52=C25,Begegnungen!$K$53=C25,Begegnungen!$K$54=C25,Begegnungen!$K$55=C25,Begegnungen!$K$56=C25,Begegnungen!$K$57=C25,Begegnungen!$K$58=C25),Begegnungen!$I$62,""))</f>
        <v>4</v>
      </c>
      <c r="L25" s="136" t="str">
        <f>IF(OR(Begegnungen!$C87=C25,Begegnungen!$C$69=C25,Begegnungen!$C$70=C25,Begegnungen!$C$71=C25,Begegnungen!$C$72=C25,Begegnungen!$C$73=C25,Begegnungen!$C$74=C25),Begegnungen!$E$78,IF(OR(Begegnungen!$E$68=C25,Begegnungen!$E$69=C25,Begegnungen!$E$70=C25,Begegnungen!$E$71=C25,Begegnungen!$E$72=C25,Begegnungen!$E$73=C25,Begegnungen!$E$74=C25),Begegnungen!$C$78,""))</f>
        <v/>
      </c>
      <c r="M25" s="273">
        <f>IF(OR(Begegnungen!$I87=C25,Begegnungen!$I$69=C25,Begegnungen!$I$70=C25,Begegnungen!$I$71=C25,Begegnungen!$I$72=C25,Begegnungen!$I$73=C25,Begegnungen!$I$74=C25),Begegnungen!$K$78,IF(OR(Begegnungen!$K$68=C25,Begegnungen!$K$69=C25,Begegnungen!$K$70=C25,Begegnungen!$K$71=C25,Begegnungen!$K$72=C25,Begegnungen!$K$73=C25,Begegnungen!$K$74=C25),Begegnungen!$I$78,""))</f>
        <v>0</v>
      </c>
      <c r="N25" s="273" t="str">
        <f>IF(OR(Begegnungen!$C104=C25,Begegnungen!$C$85=C25,Begegnungen!$C$86=C25,Begegnungen!$C$87=C25,Begegnungen!$C$88=C25,Begegnungen!$C$89=C25,Begegnungen!$C$90=C25),Begegnungen!$E$95,IF(OR(Begegnungen!$E$84=C25,Begegnungen!$E$85=C25,Begegnungen!$E$86=C25,Begegnungen!$E$87=C25,Begegnungen!$E$88=C25,Begegnungen!$E$89=C25,Begegnungen!$E$90=C25),Begegnungen!$C$95,""))</f>
        <v/>
      </c>
      <c r="O25" s="273">
        <f>IF(OR(Begegnungen!$I104=C25,Begegnungen!$I$85=C25,Begegnungen!$I$86=C25,Begegnungen!$I$87=C25,Begegnungen!$I$88=C25,Begegnungen!$I$89=C25,Begegnungen!$I$90=C25,Begegnungen!$I$91=C25),Begegnungen!$K$95,IF(OR(Begegnungen!$K$84=C25,Begegnungen!$K$85=C25,Begegnungen!$K$86=C25,Begegnungen!$K$87=C25,Begegnungen!$K$88=C25,Begegnungen!$K$89=C25,Begegnungen!$K$90=C25,Begegnungen!$K$91=C25),Begegnungen!$I$95,""))</f>
        <v>1</v>
      </c>
      <c r="P25" s="273">
        <f>IF(OR(Begegnungen!$C120=C25,Begegnungen!$C$102=C25,Begegnungen!$C$103=C25,Begegnungen!$C$104=C25,Begegnungen!$C$105=C25,Begegnungen!$C$106=C25,Begegnungen!$C$107=C25),Begegnungen!$E$111,IF(OR(Begegnungen!$E$101=C25,Begegnungen!$E$102=C25,Begegnungen!$E$103=C25,Begegnungen!$E$104=C25,Begegnungen!$E$105=C25,Begegnungen!$E$106=C25,Begegnungen!$E$107=C25),Begegnungen!$C$111,""))</f>
        <v>3</v>
      </c>
      <c r="Q25" s="273" t="str">
        <f>IF(OR(Begegnungen!$I120=C25,Begegnungen!$I$102=C25,Begegnungen!$I$103=C25,Begegnungen!$I$104=C25,Begegnungen!$I$105=C25,Begegnungen!$I$106=C25,Begegnungen!$I$107=C25),Begegnungen!$K$111,IF(OR(Begegnungen!$K$101=C25,Begegnungen!$K$102=C25,Begegnungen!$K$103=C25,Begegnungen!$K$104=C25,Begegnungen!$K$105=C25,Begegnungen!$K$106=C25,Begegnungen!$K$107=C25),Begegnungen!$I$111,""))</f>
        <v/>
      </c>
      <c r="R25" s="136" t="str">
        <f>IF(OR(Begegnungen!$C136=C25,Begegnungen!$C$118=C25,Begegnungen!$C$119=C25,Begegnungen!$C$120=C25,Begegnungen!$C$121=C25,Begegnungen!$C$122=C25,Begegnungen!$C$123=C25),Begegnungen!$E$127,IF(OR(Begegnungen!$E$117=C25,Begegnungen!$E$118=C25,Begegnungen!$E$119=C25,Begegnungen!$E$120=C25,Begegnungen!$E$121=C25,Begegnungen!$E$122=C25,Begegnungen!$E$123=C25),Begegnungen!$C$127,""))</f>
        <v/>
      </c>
      <c r="S25" s="273">
        <f>IF(OR(Begegnungen!$I$117=C25,Begegnungen!$I$118=C25,Begegnungen!$I$119=C25,Begegnungen!$I$120=C25,Begegnungen!$I$121=C25,Begegnungen!$I$122=C25,Begegnungen!$I$123=C25),Begegnungen!$K$127,IF(OR(Begegnungen!$K$117=C25,Begegnungen!$K$118=C25,Begegnungen!$K$119=C25,Begegnungen!$K$120=C25,Begegnungen!$K$121=C25,Begegnungen!$K$122=C25,Begegnungen!$K$123=C25),Begegnungen!$I$127,""))</f>
        <v>3</v>
      </c>
      <c r="T25" s="273">
        <f>IF(OR(Begegnungen!$C152=C25,Begegnungen!$C$134=C25,Begegnungen!$C$135=C25,Begegnungen!$C$136=C25,Begegnungen!$C$137=C25,Begegnungen!$C$138=C25,Begegnungen!$C$139=C25),Begegnungen!$E$143,IF(OR(Begegnungen!$E$133=C25,Begegnungen!$E$134=C25,Begegnungen!$E$135=C25,Begegnungen!$E$136=C25,Begegnungen!$E$137=C25,Begegnungen!$E$138=C25,Begegnungen!$E$139=C25),Begegnungen!$C$143,""))</f>
        <v>2</v>
      </c>
      <c r="U25" s="273">
        <f>IF(OR(Begegnungen!$I152=C25,Begegnungen!$I$134=C25,Begegnungen!$I$135=C25,Begegnungen!$I$136=C25,Begegnungen!$I$137=C25,Begegnungen!$I$138=C25,Begegnungen!$I$139=C25),Begegnungen!$K$143,IF(OR(Begegnungen!$K$133=C25,Begegnungen!$K$134=C25,Begegnungen!$K$135=C25,Begegnungen!$K$136=C25,Begegnungen!$K$137=C25,Begegnungen!$K$138=C25,Begegnungen!$K$139=C25),Begegnungen!$I$143,""))</f>
        <v>1</v>
      </c>
      <c r="V25" s="273" t="str">
        <f>IF(OR(Begegnungen!$C168=C25,Begegnungen!$C$150=C25,Begegnungen!$C$151=C25,Begegnungen!$C$152=C25,Begegnungen!$C$153=C25,Begegnungen!$C$154=C25,Begegnungen!$C$155=C25),Begegnungen!$E$159,IF(OR(Begegnungen!$E$149=C25,Begegnungen!$E$150=C25,Begegnungen!$E$151=C25,Begegnungen!$E$152=C25,Begegnungen!$E$153=C25,Begegnungen!$E$154=C25,Begegnungen!$E$155=C25),Begegnungen!$C$159,""))</f>
        <v/>
      </c>
      <c r="W25" s="273">
        <f>IF(OR(Begegnungen!$I168=C25,Begegnungen!$I$150=C25,Begegnungen!$I$151=C25,Begegnungen!$I$152=C25,Begegnungen!$I$153=C25,Begegnungen!$I$154=C25,Begegnungen!$I$155=C25),Begegnungen!$K$159,IF(OR(Begegnungen!$K$149=C25,Begegnungen!$K$150=C25,Begegnungen!$K$151=C25,Begegnungen!$K$152=C25,Begegnungen!$K$153=C25,Begegnungen!$K$154=C25,Begegnungen!$K$155=C25),Begegnungen!$I$159,""))</f>
        <v>2</v>
      </c>
      <c r="X25" s="273">
        <f>IF(OR(Begegnungen!$C184=C25,Begegnungen!$C$166=C25,Begegnungen!$C$167=C25,Begegnungen!$C$168=C25,Begegnungen!$C$169=C25,Begegnungen!$C$170=C25,Begegnungen!$C$171=C25),Begegnungen!$E$175,IF(OR(Begegnungen!$E$165=C25,Begegnungen!$E$166=C25,Begegnungen!$E$167=C25,Begegnungen!$E$168=C25,Begegnungen!$E$169=C25,Begegnungen!$E$170=C25,Begegnungen!$E$171=C25),Begegnungen!$C$175,""))</f>
        <v>3</v>
      </c>
      <c r="Y25" s="273" t="str">
        <f>IF(OR(Begegnungen!$I184=C25,Begegnungen!$I$166=C25,Begegnungen!$I$167=C25,Begegnungen!$I$168=C25,Begegnungen!$I$169=C25,Begegnungen!$I$170=C25,Begegnungen!$I$171=C25),Begegnungen!$K$175,IF(OR(Begegnungen!$K$165=C25,Begegnungen!$K$166=C25,Begegnungen!$K$167=C25,Begegnungen!$K$168=C25,Begegnungen!$K$169=C25,Begegnungen!$K$170=C25,Begegnungen!$K$171=C25),Begegnungen!$I$175,""))</f>
        <v/>
      </c>
      <c r="Z25" s="273">
        <f>IF(OR(Begegnungen!$C200=C25,Begegnungen!$C$182=C25,Begegnungen!$C$183=C25,Begegnungen!$C$184=C25,Begegnungen!$C$185=C25,Begegnungen!$C$186=C25,Begegnungen!$C$187=C25),Begegnungen!$E$191,IF(OR(Begegnungen!$E$181=C25,Begegnungen!$E$182=C25,Begegnungen!$E$183=C25,Begegnungen!$E$184=C25,Begegnungen!$E$185=C25,Begegnungen!$E$186=C25,Begegnungen!$E$187=C25),Begegnungen!$C$191,""))</f>
        <v>3</v>
      </c>
      <c r="AA25" s="273">
        <f>IF(OR(Begegnungen!$I200=C25,Begegnungen!$I$182=C25,Begegnungen!$I$183=C25,Begegnungen!$I$184=C25,Begegnungen!$I$185=C25,Begegnungen!$I$186=C25,Begegnungen!$I$187=C25),Begegnungen!$K$191,IF(OR(Begegnungen!$K$181=C25,Begegnungen!$K$182=C25,Begegnungen!$K$183=C25,Begegnungen!$K$184=C25,Begegnungen!$K$185=C25,Begegnungen!$K$186=C25,Begegnungen!$K$187=C25),Begegnungen!$I$191,""))</f>
        <v>2</v>
      </c>
      <c r="AB25" s="273">
        <f>IF(OR(Begegnungen!$C216=C25,Begegnungen!$C$198=C25,Begegnungen!$C$199=C25,Begegnungen!$C$200=C25,Begegnungen!$C$201=C25,Begegnungen!$C$202=C25,Begegnungen!$C$203=C25),Begegnungen!$E$207,IF(OR(Begegnungen!$E$197=C25,Begegnungen!$E$198=C25,Begegnungen!$E$199=C25,Begegnungen!$E$200=C25,Begegnungen!$E$201=C25,Begegnungen!$E$202=C25,Begegnungen!$E$203=C25),Begegnungen!$C$207,""))</f>
        <v>1</v>
      </c>
      <c r="AC25" s="273" t="str">
        <f>IF(OR(Begegnungen!$I216=C25,Begegnungen!$I$198=C25,Begegnungen!$I$199=C25,Begegnungen!$I$200=C25,Begegnungen!$I$201=C25,Begegnungen!$I$202=C25,Begegnungen!$I$203=C25),Begegnungen!$K$207,IF(OR(Begegnungen!$K$197=C25,Begegnungen!$K$198=C25,Begegnungen!$K$199=C25,Begegnungen!$K$200=C25,Begegnungen!$K$201=C25,Begegnungen!$K$202=C25,Begegnungen!$K$203=C25),Begegnungen!$I$207,""))</f>
        <v/>
      </c>
      <c r="AD25" s="273" t="str">
        <f>IF(OR(Begegnungen!$C232=C25,Begegnungen!$C$214=C25,Begegnungen!$C$215=C25,Begegnungen!$C$216=C25,Begegnungen!$C$217=C25,Begegnungen!$C$218=C25,Begegnungen!$C$219=C25),Begegnungen!$E$223,IF(OR(Begegnungen!$E$213=C25,Begegnungen!$E$214=C25,Begegnungen!$E$215=C25,Begegnungen!$E$216=C25,Begegnungen!$E$217=C25,Begegnungen!$E$218=C25,Begegnungen!$E$219=C25),Begegnungen!$C$223,""))</f>
        <v/>
      </c>
      <c r="AE25" s="273" t="str">
        <f>IF(OR(Begegnungen!$I232=C25,Begegnungen!$I$214=C25,Begegnungen!$I$215=C25,Begegnungen!$I$216=C25,Begegnungen!$I$217=C25,Begegnungen!$I$218=C25,Begegnungen!$I$219=C25),Begegnungen!$K$223,IF(OR(Begegnungen!$K$213=C25,Begegnungen!$K$214=C25,Begegnungen!$K$215=C25,Begegnungen!$K$216=C25,Begegnungen!$K$217=C25,Begegnungen!$K$218=C25,Begegnungen!$K$219=C25),Begegnungen!$I$223,""))</f>
        <v/>
      </c>
      <c r="AF25" s="136">
        <f>IF(OR(Begegnungen!$C248=C25,Begegnungen!$C$230=C25,Begegnungen!$C$231=C25,Begegnungen!$C$232=C25,Begegnungen!$C$233=C25,Begegnungen!$C$234=C25,Begegnungen!$C$235=C25),Begegnungen!$E$239,IF(OR(Begegnungen!$E$229=C25,Begegnungen!$E$230=C25,Begegnungen!$E$231=C25,Begegnungen!$E$232=C25,Begegnungen!$E$233=C25,Begegnungen!$E$234=C25,Begegnungen!$E$235=C25),Begegnungen!$C$239,""))</f>
        <v>0</v>
      </c>
      <c r="AG25" s="273">
        <f>IF(OR(Begegnungen!$I248=C25,Begegnungen!$I$230=C25,Begegnungen!$I$231=C25,Begegnungen!$I$232=C25,Begegnungen!$I$233=C25,Begegnungen!$I$234=C25,Begegnungen!$I$235=C25),Begegnungen!$K$239,IF(OR(Begegnungen!$K$229=C25,Begegnungen!$K$230=C25,Begegnungen!$K$231=C25,Begegnungen!$K$232=C25,Begegnungen!$K$233=C25,Begegnungen!$K$234=C25,Begegnungen!$K$235=C25),Begegnungen!$I$239,""))</f>
        <v>5</v>
      </c>
      <c r="AH25" s="273">
        <f>IF(OR(Begegnungen!$C264=C25,Begegnungen!$C$246=C25,Begegnungen!$C$247=C25,Begegnungen!$C$248=C25,Begegnungen!$C$249=C25,Begegnungen!$C$250=C25,Begegnungen!$C$251=C25),Begegnungen!$E$255,IF(OR(Begegnungen!$E$245=C25,Begegnungen!$E$246=C25,Begegnungen!$E$247=C25,Begegnungen!$E$248=C25,Begegnungen!$E$249=C25,Begegnungen!$E$250=C25,Begegnungen!$E$251=C25),Begegnungen!$C$255,""))</f>
        <v>2</v>
      </c>
      <c r="AI25" s="273">
        <f>IF(OR(Begegnungen!$I264=C25,Begegnungen!$I$246=C25,Begegnungen!$I$247=C25,Begegnungen!$I$248=C25,Begegnungen!$I$249=C25,Begegnungen!$I$250=C25,Begegnungen!$I$251=C25),Begegnungen!$K$255,IF(OR(Begegnungen!$K$245=C25,Begegnungen!$K$246=C25,Begegnungen!$K$247=C25,Begegnungen!$K$248=C25,Begegnungen!$K$249=C25,Begegnungen!$K$250=C25,Begegnungen!$K$251=C25),Begegnungen!$I$255,""))</f>
        <v>1</v>
      </c>
      <c r="AJ25" s="273">
        <f>IF(OR(Begegnungen!$C280=C25,Begegnungen!$C$262=C25,Begegnungen!$C$263=C25,Begegnungen!$C$264=C25,Begegnungen!$C$265=C25,Begegnungen!$C$266=C25,Begegnungen!$C$267=C25),Begegnungen!$E$271,IF(OR(Begegnungen!$E$261=C25,Begegnungen!$E$262=C25,Begegnungen!$E$263=C25,Begegnungen!$E$264=C25,Begegnungen!$E$265=C25,Begegnungen!$E$266=C25,Begegnungen!$E$267=C25),Begegnungen!$C$271,""))</f>
        <v>3</v>
      </c>
      <c r="AK25" s="273">
        <f>IF(OR(Begegnungen!$I280=C25,Begegnungen!$I$262=C25,Begegnungen!$I$263=C25,Begegnungen!$I$264=C25,Begegnungen!$I$265=C25,Begegnungen!$I$266=C25,Begegnungen!$I$267=C25),Begegnungen!$K$271,IF(OR(Begegnungen!$K$261=C25,Begegnungen!$K$262=C25,Begegnungen!$K$263=C25,Begegnungen!$K$264=C25,Begegnungen!$K$265=C25,Begegnungen!$K$266=C25,Begegnungen!$K$267=C25),Begegnungen!$I$271,""))</f>
        <v>1</v>
      </c>
      <c r="AL25" s="273" t="str">
        <f>IF(OR(Begegnungen!$C296=C25,Begegnungen!$C$278=C25,Begegnungen!$C$279=C25,Begegnungen!$C$280=C25,Begegnungen!$C$281=C25,Begegnungen!$C$282=C25,Begegnungen!$C$283=C25),Begegnungen!$E$287,IF(OR(Begegnungen!$E$277=C25,Begegnungen!$E$278=C25,Begegnungen!$E$279=C25,Begegnungen!$E$280=C25,Begegnungen!$E$281=C25,Begegnungen!$E$282=C25,Begegnungen!$E$283=C25),Begegnungen!$C$287,""))</f>
        <v/>
      </c>
      <c r="AM25" s="136" t="str">
        <f>IF(OR(Begegnungen!$I296=C25,Begegnungen!$I$278=C25,Begegnungen!$I$279=C25,Begegnungen!$I$280=C25,Begegnungen!$I$281=C25,Begegnungen!$I$282=C25,Begegnungen!$I$283=C25),Begegnungen!$K$287,IF(OR(Begegnungen!$K$277=C25,Begegnungen!$K$278=C25,Begegnungen!$K$279=C25,Begegnungen!$K$280=C25,Begegnungen!$K$281=C25,Begegnungen!$K$282=C25,Begegnungen!$K$283=C25),Begegnungen!$I$287,""))</f>
        <v/>
      </c>
      <c r="AN25" s="273" t="str">
        <f>IF(OR(Begegnungen!$C312=C25,Begegnungen!$C$294=C25,Begegnungen!$C$295=C25,Begegnungen!$C$296=C25,Begegnungen!$C$297=C25,Begegnungen!$C$298=C25,Begegnungen!$C$299=C25),Begegnungen!$E$303,IF(OR(Begegnungen!$E$293=C25,Begegnungen!$E$294=C25,Begegnungen!$E$295=C25,Begegnungen!$E$296=C25,Begegnungen!$E$297=C25,Begegnungen!$E$298=C25,Begegnungen!$E$299=C25),Begegnungen!$C$303,""))</f>
        <v/>
      </c>
      <c r="AO25" s="136" t="str">
        <f>IF(OR(Begegnungen!$I312=C25,Begegnungen!$I$294=C25,Begegnungen!$I$295=C25,Begegnungen!$I$296=C25,Begegnungen!$I$297=C25,Begegnungen!$I$298=C25,Begegnungen!$I$299=C25),Begegnungen!$K$303,IF(OR(Begegnungen!$K$293=C25,Begegnungen!$K$294=C25,Begegnungen!$K$295=C25,Begegnungen!$K$296=C25,Begegnungen!$K$297=C25,Begegnungen!$K$298=C25,Begegnungen!$K$299=C25),Begegnungen!$I$303,""))</f>
        <v/>
      </c>
      <c r="AP25" s="136" t="str">
        <f>IF(OR(Begegnungen!$C328=C25,Begegnungen!$C$310=C25,Begegnungen!$C$311=C25,Begegnungen!$C$312=C25,Begegnungen!$C$313=C25,Begegnungen!$C$314=C25,Begegnungen!$C$315=C25),Begegnungen!$E$319,IF(OR(Begegnungen!$E$309=C25,Begegnungen!$E$310=C25,Begegnungen!$E$311=C25,Begegnungen!$E$312=C25,Begegnungen!$E$313=C25,Begegnungen!$E$314=C25,Begegnungen!$E$315=C25),Begegnungen!$C$319,""))</f>
        <v/>
      </c>
      <c r="AQ25" s="273">
        <f>IF(OR(Begegnungen!$I328=C25,Begegnungen!$I$310=C25,Begegnungen!$I$311=C25,Begegnungen!$I$312=C25,Begegnungen!$I$313=C25,Begegnungen!$I$314=C25,Begegnungen!$I$315=C25),Begegnungen!$K$319,IF(OR(Begegnungen!$K$309=C25,Begegnungen!$K$310=C25,Begegnungen!$K$311=C25,Begegnungen!$K$312=C25,Begegnungen!$K$313=C25,Begegnungen!$K$314=C25,Begegnungen!$K$315=C25),Begegnungen!$I$319,""))</f>
        <v>4</v>
      </c>
      <c r="AR25" s="25">
        <f t="shared" si="2"/>
        <v>54</v>
      </c>
      <c r="AS25" s="139">
        <f>Spiele!AS26</f>
        <v>23</v>
      </c>
      <c r="AT25" s="140">
        <f t="shared" si="3"/>
        <v>2.347826086956522</v>
      </c>
    </row>
    <row r="29" spans="2:46" ht="15.75" thickBot="1" x14ac:dyDescent="0.3"/>
    <row r="30" spans="2:46" ht="19.5" thickBot="1" x14ac:dyDescent="0.35">
      <c r="AP30" s="119" t="s">
        <v>57</v>
      </c>
      <c r="AQ30" s="116"/>
      <c r="AR30" s="117">
        <f>SUM(AR6:AR24)</f>
        <v>1046</v>
      </c>
    </row>
  </sheetData>
  <pageMargins left="0.7" right="0.7" top="0.78740157499999996" bottom="0.78740157499999996" header="0.3" footer="0.3"/>
  <pageSetup paperSize="8" scale="43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AT30"/>
  <sheetViews>
    <sheetView zoomScale="80" zoomScaleNormal="80" workbookViewId="0">
      <selection activeCell="AD41" sqref="AD41"/>
    </sheetView>
  </sheetViews>
  <sheetFormatPr defaultColWidth="11.42578125" defaultRowHeight="15" x14ac:dyDescent="0.25"/>
  <cols>
    <col min="1" max="1" width="2.28515625" customWidth="1"/>
    <col min="2" max="2" width="7" customWidth="1"/>
    <col min="3" max="3" width="13.85546875" bestFit="1" customWidth="1"/>
    <col min="4" max="4" width="5.140625" bestFit="1" customWidth="1"/>
    <col min="5" max="8" width="6.28515625" bestFit="1" customWidth="1"/>
    <col min="9" max="11" width="7.28515625" bestFit="1" customWidth="1"/>
    <col min="12" max="12" width="6.28515625" bestFit="1" customWidth="1"/>
    <col min="13" max="15" width="7.28515625" bestFit="1" customWidth="1"/>
    <col min="16" max="16" width="6.28515625" bestFit="1" customWidth="1"/>
    <col min="17" max="17" width="7.28515625" bestFit="1" customWidth="1"/>
    <col min="18" max="18" width="6.140625" customWidth="1"/>
    <col min="19" max="19" width="6.7109375" bestFit="1" customWidth="1"/>
    <col min="20" max="22" width="6.28515625" bestFit="1" customWidth="1"/>
    <col min="23" max="23" width="5.140625" bestFit="1" customWidth="1"/>
    <col min="24" max="25" width="6.28515625" bestFit="1" customWidth="1"/>
    <col min="26" max="27" width="5.140625" bestFit="1" customWidth="1"/>
    <col min="28" max="28" width="6.28515625" bestFit="1" customWidth="1"/>
    <col min="29" max="29" width="5.7109375" customWidth="1"/>
    <col min="30" max="30" width="5.5703125" customWidth="1"/>
    <col min="31" max="31" width="5.140625" bestFit="1" customWidth="1"/>
    <col min="32" max="32" width="6.28515625" bestFit="1" customWidth="1"/>
    <col min="33" max="33" width="6.140625" customWidth="1"/>
    <col min="34" max="34" width="6.28515625" bestFit="1" customWidth="1"/>
    <col min="35" max="35" width="5.140625" bestFit="1" customWidth="1"/>
    <col min="36" max="39" width="6.28515625" bestFit="1" customWidth="1"/>
    <col min="40" max="40" width="5.140625" bestFit="1" customWidth="1"/>
    <col min="41" max="41" width="5.5703125" customWidth="1"/>
    <col min="42" max="43" width="6.28515625" bestFit="1" customWidth="1"/>
    <col min="44" max="44" width="8" customWidth="1"/>
    <col min="45" max="45" width="10.85546875" customWidth="1"/>
    <col min="46" max="46" width="15" customWidth="1"/>
    <col min="47" max="47" width="11.28515625" bestFit="1" customWidth="1"/>
    <col min="48" max="48" width="13" bestFit="1" customWidth="1"/>
    <col min="49" max="49" width="8" customWidth="1"/>
    <col min="50" max="50" width="5.5703125" customWidth="1"/>
    <col min="51" max="51" width="5" customWidth="1"/>
    <col min="52" max="52" width="6" customWidth="1"/>
    <col min="53" max="53" width="4.7109375" customWidth="1"/>
  </cols>
  <sheetData>
    <row r="4" spans="2:46" ht="15.75" thickBot="1" x14ac:dyDescent="0.3">
      <c r="B4" s="43"/>
      <c r="C4" s="67"/>
      <c r="D4" s="41">
        <v>1</v>
      </c>
      <c r="E4" s="41">
        <v>2</v>
      </c>
      <c r="F4" s="41">
        <v>3</v>
      </c>
      <c r="G4" s="41">
        <v>4</v>
      </c>
      <c r="H4" s="41">
        <v>5</v>
      </c>
      <c r="I4" s="41">
        <v>6</v>
      </c>
      <c r="J4" s="41">
        <v>7</v>
      </c>
      <c r="K4" s="41">
        <v>8</v>
      </c>
      <c r="L4" s="41">
        <v>9</v>
      </c>
      <c r="M4" s="41">
        <v>10</v>
      </c>
      <c r="N4" s="41">
        <v>11</v>
      </c>
      <c r="O4" s="41">
        <v>12</v>
      </c>
      <c r="P4" s="41">
        <v>13</v>
      </c>
      <c r="Q4" s="41">
        <v>14</v>
      </c>
      <c r="R4" s="41">
        <v>15</v>
      </c>
      <c r="S4" s="41">
        <v>16</v>
      </c>
      <c r="T4" s="41">
        <v>17</v>
      </c>
      <c r="U4" s="41">
        <v>18</v>
      </c>
      <c r="V4" s="41">
        <v>19</v>
      </c>
      <c r="W4" s="41">
        <v>20</v>
      </c>
      <c r="X4" s="41">
        <v>21</v>
      </c>
      <c r="Y4" s="41">
        <v>22</v>
      </c>
      <c r="Z4" s="41">
        <v>23</v>
      </c>
      <c r="AA4" s="41">
        <v>24</v>
      </c>
      <c r="AB4" s="41">
        <v>25</v>
      </c>
      <c r="AC4" s="41">
        <v>26</v>
      </c>
      <c r="AD4" s="41">
        <v>27</v>
      </c>
      <c r="AE4" s="41">
        <v>28</v>
      </c>
      <c r="AF4" s="41">
        <v>29</v>
      </c>
      <c r="AG4" s="41">
        <v>30</v>
      </c>
      <c r="AH4" s="41">
        <v>31</v>
      </c>
      <c r="AI4" s="41">
        <v>32</v>
      </c>
      <c r="AJ4" s="41">
        <v>33</v>
      </c>
      <c r="AK4" s="41">
        <v>34</v>
      </c>
      <c r="AL4" s="41">
        <v>35</v>
      </c>
      <c r="AM4" s="41">
        <v>36</v>
      </c>
      <c r="AN4" s="41">
        <v>37</v>
      </c>
      <c r="AO4" s="41">
        <v>38</v>
      </c>
      <c r="AP4" s="41">
        <v>39</v>
      </c>
      <c r="AQ4" s="41">
        <v>40</v>
      </c>
    </row>
    <row r="5" spans="2:46" ht="15.75" thickBot="1" x14ac:dyDescent="0.3">
      <c r="B5" s="144" t="s">
        <v>3</v>
      </c>
      <c r="C5" s="5"/>
      <c r="D5" s="147">
        <f>Spiele!D5</f>
        <v>45538</v>
      </c>
      <c r="E5" s="10">
        <f>Spiele!E5</f>
        <v>45545</v>
      </c>
      <c r="F5" s="10">
        <f>Spiele!F5</f>
        <v>45552</v>
      </c>
      <c r="G5" s="10">
        <f>Spiele!G5</f>
        <v>45559</v>
      </c>
      <c r="H5" s="10">
        <f>Spiele!H5</f>
        <v>45566</v>
      </c>
      <c r="I5" s="10">
        <f>Spiele!I5</f>
        <v>45573</v>
      </c>
      <c r="J5" s="10">
        <f>Spiele!J5</f>
        <v>45580</v>
      </c>
      <c r="K5" s="10">
        <f>Spiele!K5</f>
        <v>45587</v>
      </c>
      <c r="L5" s="10">
        <f>Spiele!L5</f>
        <v>45594</v>
      </c>
      <c r="M5" s="10">
        <f>Spiele!M5</f>
        <v>45601</v>
      </c>
      <c r="N5" s="10">
        <f>Spiele!N5</f>
        <v>45608</v>
      </c>
      <c r="O5" s="10">
        <f>Spiele!O5</f>
        <v>45615</v>
      </c>
      <c r="P5" s="10">
        <f>Spiele!P5</f>
        <v>45622</v>
      </c>
      <c r="Q5" s="10">
        <f>Spiele!Q5</f>
        <v>45629</v>
      </c>
      <c r="R5" s="10">
        <f>Spiele!R5</f>
        <v>45643</v>
      </c>
      <c r="S5" s="10">
        <f>Spiele!S5</f>
        <v>45664</v>
      </c>
      <c r="T5" s="10">
        <f>Spiele!T5</f>
        <v>45671</v>
      </c>
      <c r="U5" s="10">
        <f>Spiele!U5</f>
        <v>45678</v>
      </c>
      <c r="V5" s="10">
        <f>Spiele!V5</f>
        <v>45685</v>
      </c>
      <c r="W5" s="10">
        <f>Spiele!W5</f>
        <v>45692</v>
      </c>
      <c r="X5" s="10">
        <f>Spiele!X5</f>
        <v>45699</v>
      </c>
      <c r="Y5" s="10">
        <f>Spiele!Y5</f>
        <v>45706</v>
      </c>
      <c r="Z5" s="10">
        <f>Spiele!Z5</f>
        <v>45713</v>
      </c>
      <c r="AA5" s="10">
        <f>Spiele!AA5</f>
        <v>45720</v>
      </c>
      <c r="AB5" s="10">
        <f>Spiele!AB5</f>
        <v>45727</v>
      </c>
      <c r="AC5" s="10">
        <f>Spiele!AC5</f>
        <v>45734</v>
      </c>
      <c r="AD5" s="10">
        <f>Spiele!AD5</f>
        <v>45741</v>
      </c>
      <c r="AE5" s="10">
        <f>Spiele!AE5</f>
        <v>45748</v>
      </c>
      <c r="AF5" s="10">
        <f>Spiele!AF5</f>
        <v>45755</v>
      </c>
      <c r="AG5" s="10">
        <f>Spiele!AG5</f>
        <v>45762</v>
      </c>
      <c r="AH5" s="10">
        <f>Spiele!AH5</f>
        <v>45769</v>
      </c>
      <c r="AI5" s="10">
        <f>Spiele!AI5</f>
        <v>45776</v>
      </c>
      <c r="AJ5" s="10">
        <f>Spiele!AJ5</f>
        <v>45783</v>
      </c>
      <c r="AK5" s="10">
        <f>Spiele!AK5</f>
        <v>45790</v>
      </c>
      <c r="AL5" s="10">
        <f>Spiele!AL5</f>
        <v>45797</v>
      </c>
      <c r="AM5" s="10">
        <f>Spiele!AM5</f>
        <v>45804</v>
      </c>
      <c r="AN5" s="10">
        <f>Spiele!AN5</f>
        <v>45811</v>
      </c>
      <c r="AO5" s="10">
        <f>Spiele!AO5</f>
        <v>45818</v>
      </c>
      <c r="AP5" s="10"/>
      <c r="AQ5" s="10"/>
      <c r="AR5" s="79" t="s">
        <v>82</v>
      </c>
      <c r="AS5" s="138" t="s">
        <v>29</v>
      </c>
      <c r="AT5" s="137" t="s">
        <v>100</v>
      </c>
    </row>
    <row r="6" spans="2:46" x14ac:dyDescent="0.25">
      <c r="B6" s="145">
        <v>1</v>
      </c>
      <c r="C6" s="146" t="s">
        <v>20</v>
      </c>
      <c r="D6" s="148" t="str">
        <f>IF(OR(Begegnungen!$C$3=C6,Begegnungen!$C$4=C6,Begegnungen!$C$5=C6,Begegnungen!$C$6=C6,Begegnungen!$C$7=C6,Begegnungen!$C$8=C6,Begegnungen!$C$9=C6),Begegnungen!$C$13,IF(OR(Begegnungen!$E$3=C6,Begegnungen!$E$4=C6,Begegnungen!$E$5=C6,Begegnungen!$E$6=C6,Begegnungen!$E$7=C6,Begegnungen!$E$8=C6,Begegnungen!$E$9=C6),Begegnungen!$E$13,""))</f>
        <v/>
      </c>
      <c r="E6" s="66" t="str">
        <f>IF(OR(Begegnungen!$I$3=C6,Begegnungen!$I$4=C6,Begegnungen!$I$5=C6,Begegnungen!$I$6=C6,Begegnungen!$I$7=C6,Begegnungen!$I$8=C6,Begegnungen!$I$9=C6),Begegnungen!$I$13,IF(OR(Begegnungen!$K$3=C6,Begegnungen!$K$4=C6,Begegnungen!$K$5=C6,Begegnungen!$K$6=C6,Begegnungen!$K$7=C6,Begegnungen!$K$8=C6,Begegnungen!$K$9=C6),Begegnungen!$K$13,""))</f>
        <v/>
      </c>
      <c r="F6" s="66" t="str">
        <f>IF(OR(Begegnungen!$C$19=C6,Begegnungen!$C$20=C6,Begegnungen!$C$21=C6,Begegnungen!$C$22=C6,Begegnungen!$C$23=C6,Begegnungen!$C$24=C6,Begegnungen!$C$25=C6),Begegnungen!$C$29,IF(OR(Begegnungen!$E$19=C6,Begegnungen!$E$20=C6,Begegnungen!$E$21=C6,Begegnungen!$E$22=C6,Begegnungen!$E$23=C6,Begegnungen!$E$24=C6,Begegnungen!$E$25=C6),Begegnungen!$E$29,""))</f>
        <v/>
      </c>
      <c r="G6" s="66" t="str">
        <f>IF(OR(Begegnungen!$I$19=C6,Begegnungen!$I$20=C6,Begegnungen!$I$21=C6,Begegnungen!$I$22=C6,Begegnungen!$I$23=C6,Begegnungen!$I$24=C6,Begegnungen!$I$25=C6),Begegnungen!$I$29,IF(OR(Begegnungen!$K$19=C6,Begegnungen!$K$20=C6,Begegnungen!$K$21=C6,Begegnungen!$K$22=C6,Begegnungen!$K$23=C6,Begegnungen!$K$24=C6,Begegnungen!$K$25=C6),Begegnungen!$K$29,""))</f>
        <v/>
      </c>
      <c r="H6" s="66" t="str">
        <f>IF(OR(Begegnungen!$C$35=C6,Begegnungen!$C$36=C6,Begegnungen!$C$37=C6,Begegnungen!$C$38=C6,Begegnungen!$C$39=C6,Begegnungen!$C$40=C6,Begegnungen!$C$41=C6),Begegnungen!$C$46,IF(OR(Begegnungen!$E$35=C6,Begegnungen!$E$36=C6,Begegnungen!$E$37=C6,Begegnungen!$E$38=C6,Begegnungen!$E$39=C6,Begegnungen!$E$40=C6,Begegnungen!$E$41=C6),Begegnungen!$E$46,""))</f>
        <v/>
      </c>
      <c r="I6" s="66" t="str">
        <f>IF(OR(Begegnungen!$I$35=C6,Begegnungen!$I$36=C6,Begegnungen!$I$37=C6,Begegnungen!$I$38=C6,Begegnungen!$I$39=C6,Begegnungen!$I$40=C6,Begegnungen!$I$41=C6),Begegnungen!$I$46,IF(OR(Begegnungen!$K$35=C6,Begegnungen!$K$36=C6,Begegnungen!$K$37=C6,Begegnungen!$K$38=C6,Begegnungen!$K$39=C6,Begegnungen!$K$40=C6,Begegnungen!$K$41=C6),Begegnungen!$K$46,""))</f>
        <v/>
      </c>
      <c r="J6" s="136" t="str">
        <f>IF(OR(Begegnungen!$C$52=C6,Begegnungen!$C$53=C6,Begegnungen!$C$54=C6,Begegnungen!$C$55=C6,Begegnungen!$C$56=C6,Begegnungen!$C$57=C6,Begegnungen!$C$58=C6),Begegnungen!$C$62,IF(OR(Begegnungen!$E$52=C6,Begegnungen!$E$53=C6,Begegnungen!$E$54=C6,Begegnungen!$E$55=C6,Begegnungen!$E$56=C6,Begegnungen!$E$57=C6,Begegnungen!$E$58=C6),Begegnungen!$E$62,""))</f>
        <v/>
      </c>
      <c r="K6" s="66" t="str">
        <f>IF(OR(Begegnungen!$I$52=C6,Begegnungen!$I$53=C6,Begegnungen!$I$54=C6,Begegnungen!$I$55=C6,Begegnungen!$I$56=C6,Begegnungen!$I$57=C6,Begegnungen!$I$58=C6),Begegnungen!$I$62,IF(OR(Begegnungen!$K$52=C6,Begegnungen!$K$53=C6,Begegnungen!$K$54=C6,Begegnungen!$K$55=C6,Begegnungen!$K$56=C6,Begegnungen!$K$57=C6,Begegnungen!$K$58=C6),Begegnungen!$K$62,""))</f>
        <v/>
      </c>
      <c r="L6" s="136" t="str">
        <f>IF(OR(Begegnungen!$C68=C6,Begegnungen!$C$69=C6,Begegnungen!$C$70=C6,Begegnungen!$C$71=C6,Begegnungen!$C$72=C6,Begegnungen!$C$73=C6,Begegnungen!$C$74=C6),Begegnungen!$C$78,IF(OR(Begegnungen!$E$68=C6,Begegnungen!$E$69=C6,Begegnungen!$E$70=C6,Begegnungen!$E$71=C6,Begegnungen!$E$72=C6,Begegnungen!$E$73=C6,Begegnungen!$E$74=C6),Begegnungen!$E$78,""))</f>
        <v/>
      </c>
      <c r="M6" s="66" t="str">
        <f>IF(OR(Begegnungen!$I68=C6,Begegnungen!$I$69=C6,Begegnungen!$I$70=C6,Begegnungen!$I$71=C6,Begegnungen!$I$72=C6,Begegnungen!$I$73=C6,Begegnungen!$I$74=C6),Begegnungen!$I$78,IF(OR(Begegnungen!$K$68=C6,Begegnungen!$K$69=C6,Begegnungen!$K$70=C6,Begegnungen!$K$71=C6,Begegnungen!$K$72=C6,Begegnungen!$K$73=C6,Begegnungen!$K$74=C6),Begegnungen!$K$78,""))</f>
        <v/>
      </c>
      <c r="N6" s="66" t="str">
        <f>IF(OR(Begegnungen!$C84=C6,Begegnungen!$C$85=C6,Begegnungen!$C$86=C6,Begegnungen!$C$87=C6,Begegnungen!$C$88=C6,Begegnungen!$C$89=C6,Begegnungen!$C$90=C6),Begegnungen!$C$95,IF(OR(Begegnungen!$E$84=C6,Begegnungen!$E$85=C6,Begegnungen!$E$86=C6,Begegnungen!$E$87=C6,Begegnungen!$E$88=C6,Begegnungen!$E$89=C6,Begegnungen!$E$90=C6),Begegnungen!$E$95,""))</f>
        <v/>
      </c>
      <c r="O6" s="66" t="str">
        <f>IF(OR(Begegnungen!$I84=C6,Begegnungen!$I$85=C6,Begegnungen!$I$86=C6,Begegnungen!$I$87=C6,Begegnungen!$I$88=C6,Begegnungen!$I$89=C6,Begegnungen!$I$90=C6),Begegnungen!$I$95,IF(OR(Begegnungen!$K$84=C6,Begegnungen!$K$85=C6,Begegnungen!$K$86=C6,Begegnungen!$K$87=C6,Begegnungen!$K$88=C6,Begegnungen!$K$89=C6,Begegnungen!$K$90=C6),Begegnungen!$K$95,""))</f>
        <v/>
      </c>
      <c r="P6" s="66" t="str">
        <f>IF(OR(Begegnungen!$C101=C6,Begegnungen!$C$102=C6,Begegnungen!$C$103=C6,Begegnungen!$C$104=C6,Begegnungen!$C$105=C6,Begegnungen!$C$106=C6,Begegnungen!$C$107=C6),Begegnungen!$C$111,IF(OR(Begegnungen!$E$101=C6,Begegnungen!$E$102=C6,Begegnungen!$E$103=C6,Begegnungen!$E$104=C6,Begegnungen!$E$105=C6,Begegnungen!$E$106=C6,Begegnungen!$E$107=C6),Begegnungen!$E$111,""))</f>
        <v/>
      </c>
      <c r="Q6" s="66" t="str">
        <f>IF(OR(Begegnungen!$I101=C6,Begegnungen!$I$102=C6,Begegnungen!$I$103=C6,Begegnungen!$I$104=C6,Begegnungen!$I$105=C6,Begegnungen!$I$106=C6,Begegnungen!$I$107=C6),Begegnungen!$I$111,IF(OR(Begegnungen!$K$101=C6,Begegnungen!$K$102=C6,Begegnungen!$K$103=C6,Begegnungen!$K$104=C6,Begegnungen!$K$105=C6,Begegnungen!$K$106=C6,Begegnungen!$K$107=C6),Begegnungen!$K$111,""))</f>
        <v/>
      </c>
      <c r="R6" s="136" t="str">
        <f>IF(OR(Begegnungen!$C117=C6,Begegnungen!$C$118=C6,Begegnungen!$C$119=C6,Begegnungen!$C$120=C6,Begegnungen!$C$121=C6,Begegnungen!$C$122=C6,Begegnungen!$C$123=C6),Begegnungen!$C$127,IF(OR(Begegnungen!$E$117=C6,Begegnungen!$E$118=C6,Begegnungen!$E$119=C6,Begegnungen!$E$120=C6,Begegnungen!$E$121=C6,Begegnungen!$E$122=C6,Begegnungen!$E$123=C6),Begegnungen!$E$127,""))</f>
        <v/>
      </c>
      <c r="S6" s="66" t="str">
        <f>IF(OR(Begegnungen!$I$117=C6,Begegnungen!$I$118=C6,Begegnungen!$I$119=C6,Begegnungen!$I$120=C6,Begegnungen!$I$121=C6,Begegnungen!$I$122=C6,Begegnungen!$I$123=C6),Begegnungen!$I$127,IF(OR(Begegnungen!$K$117=C6,Begegnungen!$K$118=C6,Begegnungen!$K$119=C6,Begegnungen!$K$120=C6,Begegnungen!$K$121=C6,Begegnungen!$K$122=C6,Begegnungen!$K$123=C6),Begegnungen!$K$127,""))</f>
        <v/>
      </c>
      <c r="T6" s="66" t="str">
        <f>IF(OR(Begegnungen!$C133=C6,Begegnungen!$C$134=C6,Begegnungen!$C$135=C6,Begegnungen!$C$136=C6,Begegnungen!$C$137=C6,Begegnungen!$C$138=C6,Begegnungen!$C$139=C6),Begegnungen!$C$143,IF(OR(Begegnungen!$E$133=C6,Begegnungen!$E$134=C6,Begegnungen!$E$135=C6,Begegnungen!$E$136=C6,Begegnungen!$E$137=C6,Begegnungen!$E$138=C6,Begegnungen!$E$139=C6),Begegnungen!$E$143,""))</f>
        <v/>
      </c>
      <c r="U6" s="66" t="str">
        <f>IF(OR(Begegnungen!$I133=C6,Begegnungen!$I$134=C6,Begegnungen!$I$135=C6,Begegnungen!$I$136=C6,Begegnungen!$I$137=C6,Begegnungen!$I$138=C6,Begegnungen!$I$139=C6),Begegnungen!$I$143,IF(OR(Begegnungen!$K$133=C6,Begegnungen!$K$134=C6,Begegnungen!$K$135=C6,Begegnungen!$K$136=C6,Begegnungen!$K$137=C6,Begegnungen!$K$138=C6,Begegnungen!$K$139=C6),Begegnungen!$K$143,""))</f>
        <v/>
      </c>
      <c r="V6" s="66" t="str">
        <f>IF(OR(Begegnungen!$C149=C6,Begegnungen!$C$150=C6,Begegnungen!$C$151=C6,Begegnungen!$C$152=C6,Begegnungen!$C$153=C6,Begegnungen!$C$154=C6,Begegnungen!$C$155=C6),Begegnungen!$C$159,IF(OR(Begegnungen!$E$149=C6,Begegnungen!$E$150=C6,Begegnungen!$E$151=C6,Begegnungen!$E$152=C6,Begegnungen!$E$153=C6,Begegnungen!$E$154=C6,Begegnungen!$E$155=C6),Begegnungen!$E$159,""))</f>
        <v/>
      </c>
      <c r="W6" s="66" t="str">
        <f>IF(OR(Begegnungen!$I149=C6,Begegnungen!$I$150=C6,Begegnungen!$I$151=C6,Begegnungen!$I$152=C6,Begegnungen!$I$153=C6,Begegnungen!$I$154=C6,Begegnungen!$I$155=C6),Begegnungen!$I$159,IF(OR(Begegnungen!$K$149=C6,Begegnungen!$K$150=C6,Begegnungen!$K$151=C6,Begegnungen!$K$152=C6,Begegnungen!$K$153=C6,Begegnungen!$K$154=C6,Begegnungen!$K$155=C6),Begegnungen!$K$159,""))</f>
        <v/>
      </c>
      <c r="X6" s="66" t="str">
        <f>IF(OR(Begegnungen!$C165=C6,Begegnungen!$C$166=C6,Begegnungen!$C$167=C6,Begegnungen!$C$168=C6,Begegnungen!$C$169=C6,Begegnungen!$C$170=C6,Begegnungen!$C$171=C6),Begegnungen!$C$175,IF(OR(Begegnungen!$E$165=C6,Begegnungen!$E$166=C6,Begegnungen!$E$167=C6,Begegnungen!$E$168=C6,Begegnungen!$E$169=C6,Begegnungen!$E$170=C6,Begegnungen!$E$171=C6),Begegnungen!$E$175,""))</f>
        <v/>
      </c>
      <c r="Y6" s="66" t="str">
        <f>IF(OR(Begegnungen!$I165=C6,Begegnungen!$I$166=C6,Begegnungen!$I$167=C6,Begegnungen!$I$168=C6,Begegnungen!$I$169=C6,Begegnungen!$I$170=C6,Begegnungen!$I$171=C6),Begegnungen!$I$175,IF(OR(Begegnungen!$K$165=C6,Begegnungen!$K$166=C6,Begegnungen!$K$167=C6,Begegnungen!$K$168=C6,Begegnungen!$K$169=C6,Begegnungen!$K$170=C6,Begegnungen!$K$171=C6),Begegnungen!$K$175,""))</f>
        <v/>
      </c>
      <c r="Z6" s="66" t="str">
        <f>IF(OR(Begegnungen!$C181=C6,Begegnungen!$C$182=C6,Begegnungen!$C$183=C6,Begegnungen!$C$184=C6,Begegnungen!$C$185=C6,Begegnungen!$C$186=C6,Begegnungen!$C$187=C6),Begegnungen!$C$191,IF(OR(Begegnungen!$E$181=C6,Begegnungen!$E$182=C6,Begegnungen!$E$183=C6,Begegnungen!$E$184=C6,Begegnungen!$E$185=C6,Begegnungen!$E$186=C6,Begegnungen!$E$187=C6),Begegnungen!$E$191,""))</f>
        <v/>
      </c>
      <c r="AA6" s="66" t="str">
        <f>IF(OR(Begegnungen!$I181=C6,Begegnungen!$I$182=C6,Begegnungen!$I$183=C6,Begegnungen!$I$184=C6,Begegnungen!$I$185=C6,Begegnungen!$I$186=C6,Begegnungen!$I$187=C6),Begegnungen!$I$191,IF(OR(Begegnungen!$K$181=C6,Begegnungen!$K$182=C6,Begegnungen!$K$183=C6,Begegnungen!$K$184=C6,Begegnungen!$K$185=C6,Begegnungen!$K$186=C6,Begegnungen!$K$187=C6),Begegnungen!$K$191,""))</f>
        <v/>
      </c>
      <c r="AB6" s="66" t="str">
        <f>IF(OR(Begegnungen!$C197=C6,Begegnungen!$C$198=C6,Begegnungen!$C$199=C6,Begegnungen!$C$200=C6,Begegnungen!$C$201=C6,Begegnungen!$C$202=C6,Begegnungen!$C$203=C6),Begegnungen!$C$207,IF(OR(Begegnungen!$E$197=C6,Begegnungen!$E$198=C6,Begegnungen!$E$199=C6,Begegnungen!$E$200=C6,Begegnungen!$E$201=C6,Begegnungen!$E$202=C6,Begegnungen!$E$203=C6),Begegnungen!$E$207,""))</f>
        <v/>
      </c>
      <c r="AC6" s="66" t="str">
        <f>IF(OR(Begegnungen!$I197=C6,Begegnungen!$I$198=C6,Begegnungen!$I$199=C6,Begegnungen!$I$200=C6,Begegnungen!$I$201=C6,Begegnungen!$I$202=C6,Begegnungen!$I$203=C6),Begegnungen!$I$207,IF(OR(Begegnungen!$K$197=C6,Begegnungen!$K$198=C6,Begegnungen!$K$199=C6,Begegnungen!$K$200=C6,Begegnungen!$K$201=C6,Begegnungen!$K$202=C6,Begegnungen!$K$203=C6),Begegnungen!$K$207,""))</f>
        <v/>
      </c>
      <c r="AD6" s="66" t="str">
        <f>IF(OR(Begegnungen!$C213=C6,Begegnungen!$C$214=C6,Begegnungen!$C$215=C6,Begegnungen!$C$216=C6,Begegnungen!$C$217=C6,Begegnungen!$C$218=C6,Begegnungen!$C$219=C6),Begegnungen!$C$223,IF(OR(Begegnungen!$E$213=C6,Begegnungen!$E$214=C6,Begegnungen!$E$215=C6,Begegnungen!$E$216=C6,Begegnungen!$E$217=C6,Begegnungen!$E$218=C6,Begegnungen!$E$219=C6),Begegnungen!$E$223,""))</f>
        <v/>
      </c>
      <c r="AE6" s="66" t="str">
        <f>IF(OR(Begegnungen!$I213=C6,Begegnungen!$I$214=C6,Begegnungen!$I$215=C6,Begegnungen!$I$216=C6,Begegnungen!$I$217=C6,Begegnungen!$I$218=C6,Begegnungen!$I$219=C6),Begegnungen!$I$223,IF(OR(Begegnungen!$K$213=C6,Begegnungen!$K$214=C6,Begegnungen!$K$215=C6,Begegnungen!$K$216=C6,Begegnungen!$K$217=C6,Begegnungen!$K$218=C6,Begegnungen!$K$219=C6),Begegnungen!$K$223,""))</f>
        <v/>
      </c>
      <c r="AF6" s="136" t="str">
        <f>IF(OR(Begegnungen!$C229=C6,Begegnungen!$C$230=C6,Begegnungen!$C$231=C6,Begegnungen!$C$232=C6,Begegnungen!$C$233=C6,Begegnungen!$C$234=C6,Begegnungen!$C$235=C6),Begegnungen!$C$239,IF(OR(Begegnungen!$E$229=C6,Begegnungen!$E$230=C6,Begegnungen!$E$231=C6,Begegnungen!$E$232=C6,Begegnungen!$E$233=C6,Begegnungen!$E$234=C6,Begegnungen!$E$235=C6),Begegnungen!$E$239,""))</f>
        <v/>
      </c>
      <c r="AG6" s="66" t="str">
        <f>IF(OR(Begegnungen!$I229=C6,Begegnungen!$I$230=C6,Begegnungen!$I$231=C6,Begegnungen!$I$232=C6,Begegnungen!$I$233=C6,Begegnungen!$I$234=C6,Begegnungen!$I$235=C6),Begegnungen!$I$239,IF(OR(Begegnungen!$K$229=C6,Begegnungen!$K$230=C6,Begegnungen!$K$231=C6,Begegnungen!$K$232=C6,Begegnungen!$K$233=C6,Begegnungen!$K$234=C6,Begegnungen!$K$235=C6),Begegnungen!$K$239,""))</f>
        <v/>
      </c>
      <c r="AH6" s="66" t="str">
        <f>IF(OR(Begegnungen!$C245=C6,Begegnungen!$C$246=C6,Begegnungen!$C$247=C6,Begegnungen!$C$248=C6,Begegnungen!$C$249=C6,Begegnungen!$C$250=C6,Begegnungen!$C$251=C6),Begegnungen!$C$255,IF(OR(Begegnungen!$E$245=C6,Begegnungen!$E$246=C6,Begegnungen!$E$247=C6,Begegnungen!$E$248=C6,Begegnungen!$E$249=C6,Begegnungen!$E$250=C6,Begegnungen!$E$251=C6),Begegnungen!$E$255,""))</f>
        <v/>
      </c>
      <c r="AI6" s="66" t="str">
        <f>IF(OR(Begegnungen!$I245=C6,Begegnungen!$I$246=C6,Begegnungen!$I$247=C6,Begegnungen!$I$248=C6,Begegnungen!$I$249=C6,Begegnungen!$I$250=C6,Begegnungen!$I$251=C6),Begegnungen!$I$255,IF(OR(Begegnungen!$K$245=C6,Begegnungen!$K$246=C6,Begegnungen!$K$247=C6,Begegnungen!$K$248=C6,Begegnungen!$K$249=C6,Begegnungen!$K$250=C6,Begegnungen!$K$251=C6),Begegnungen!$K$255,""))</f>
        <v/>
      </c>
      <c r="AJ6" s="66" t="str">
        <f>IF(OR(Begegnungen!$C261=C6,Begegnungen!$C$262=C6,Begegnungen!$C$263=C6,Begegnungen!$C$264=C6,Begegnungen!$C$265=C6,Begegnungen!$C$266=C6,Begegnungen!$C$267=C6),Begegnungen!$C$271,IF(OR(Begegnungen!$E$261=C6,Begegnungen!$E$262=C6,Begegnungen!$E$263=C6,Begegnungen!$E$264=C6,Begegnungen!$E$265=C6,Begegnungen!$E$266=C6,Begegnungen!$E$267=C6),Begegnungen!$E$271,""))</f>
        <v/>
      </c>
      <c r="AK6" s="66" t="str">
        <f>IF(OR(Begegnungen!$I261=C6,Begegnungen!$I$262=C6,Begegnungen!$I$263=C6,Begegnungen!$I$264=C6,Begegnungen!$I$265=C6,Begegnungen!$I$266=C6,Begegnungen!$I$267=C6),Begegnungen!$I$271,IF(OR(Begegnungen!$K$261=C6,Begegnungen!$K$262=C6,Begegnungen!$K$263=C6,Begegnungen!$K$264=C6,Begegnungen!$K$265=C6,Begegnungen!$K$266=C6,Begegnungen!$K$267=C6),Begegnungen!$K$271,""))</f>
        <v/>
      </c>
      <c r="AL6" s="66" t="str">
        <f>IF(OR(Begegnungen!$C277=C6,Begegnungen!$C$278=C6,Begegnungen!$C$279=C6,Begegnungen!$C$280=C6,Begegnungen!$C$281=C6,Begegnungen!$C$282=C6,Begegnungen!$C$283=C6),Begegnungen!$C$287,IF(OR(Begegnungen!$E$277=C6,Begegnungen!$E$278=C6,Begegnungen!$E$279=C6,Begegnungen!$E$280=C6,Begegnungen!$E$281=C6,Begegnungen!$E$282=C6,Begegnungen!$E$283=C6),Begegnungen!$E$287,""))</f>
        <v/>
      </c>
      <c r="AM6" s="136" t="str">
        <f>IF(OR(Begegnungen!$I277=C6,Begegnungen!$I$278=C6,Begegnungen!$I$279=C6,Begegnungen!$I$280=C6,Begegnungen!$I$281=C6,Begegnungen!$I$282=C6,Begegnungen!$I$283=C6),Begegnungen!$I$287,IF(OR(Begegnungen!$K$277=C6,Begegnungen!$K$278=C6,Begegnungen!$K$279=C6,Begegnungen!$K$280=C6,Begegnungen!$K$281=C6,Begegnungen!$K$282=C6,Begegnungen!$K$283=C6),Begegnungen!$K$287,""))</f>
        <v/>
      </c>
      <c r="AN6" s="66" t="str">
        <f>IF(OR(Begegnungen!$C293=C6,Begegnungen!$C$294=C6,Begegnungen!$C$295=C6,Begegnungen!$C$296=C6,Begegnungen!$C$297=C6,Begegnungen!$C$298=C6,Begegnungen!$C$299=C6),Begegnungen!$C$303,IF(OR(Begegnungen!$E$293=C6,Begegnungen!$E$294=C6,Begegnungen!$E$295=C6,Begegnungen!$E$296=C6,Begegnungen!$E$297=C6,Begegnungen!$E$298=C6,Begegnungen!$E$299=C6),Begegnungen!$E$303,""))</f>
        <v/>
      </c>
      <c r="AO6" s="136" t="str">
        <f>IF(OR(Begegnungen!$I293=C6,Begegnungen!$I$294=C6,Begegnungen!$I$295=C6,Begegnungen!$I$296=C6,Begegnungen!$I$297=C6,Begegnungen!$I$298=C6,Begegnungen!$I$299=C6),Begegnungen!$I$303,IF(OR(Begegnungen!$K$293=C6,Begegnungen!$K$294=C6,Begegnungen!$K$295=C6,Begegnungen!$K$296=C6,Begegnungen!$K$297=C6,Begegnungen!$K$298=C6,Begegnungen!$K$299=C6),Begegnungen!$K$303,""))</f>
        <v/>
      </c>
      <c r="AP6" s="136" t="str">
        <f>IF(OR(Begegnungen!$C309=C6,Begegnungen!$C$310=C6,Begegnungen!$C$311=C6,Begegnungen!$C$312=C6,Begegnungen!$C$313=C6,Begegnungen!$C$314=C6,Begegnungen!$C$315=C6),Begegnungen!$C$319,IF(OR(Begegnungen!$E$309=C6,Begegnungen!$E$310=C6,Begegnungen!$E$311=C6,Begegnungen!$E$312=C6,Begegnungen!$E$313=C6,Begegnungen!$E$314=C6,Begegnungen!$E$315=C6),Begegnungen!$E$319,""))</f>
        <v/>
      </c>
      <c r="AQ6" s="66" t="str">
        <f>IF(OR(Begegnungen!$I309=C6,Begegnungen!$I$310=C6,Begegnungen!$I$311=C6,Begegnungen!$I$312=C6,Begegnungen!$I$313=C6,Begegnungen!$I$314=C6,Begegnungen!$I$315=C6),Begegnungen!$I$319,IF(OR(Begegnungen!$K$309=C6,Begegnungen!$K$310=C6,Begegnungen!$K$311=C6,Begegnungen!$K$312=C6,Begegnungen!$K$313=C6,Begegnungen!$K$314=C6,Begegnungen!$K$315=C6),Begegnungen!$K$319,""))</f>
        <v/>
      </c>
      <c r="AR6" s="25">
        <f t="shared" ref="AR6:AR23" si="0">SUM(D6:AQ6)</f>
        <v>0</v>
      </c>
      <c r="AS6" s="139">
        <f>Spiele!AS6</f>
        <v>0</v>
      </c>
      <c r="AT6" s="140" t="e">
        <f>AR6/AS6</f>
        <v>#DIV/0!</v>
      </c>
    </row>
    <row r="7" spans="2:46" x14ac:dyDescent="0.25">
      <c r="B7" s="4">
        <v>2</v>
      </c>
      <c r="C7" s="146" t="s">
        <v>25</v>
      </c>
      <c r="D7" s="148">
        <f>IF(OR(Begegnungen!$C$3=C7,Begegnungen!$C$4=C7,Begegnungen!$C$5=C7,Begegnungen!$C$6=C7,Begegnungen!$C$7=C7,Begegnungen!$C$8=C7,Begegnungen!$C$9=C7),Begegnungen!$C$13,IF(OR(Begegnungen!$E$3=C7,Begegnungen!$E$4=C7,Begegnungen!$E$5=C7,Begegnungen!$E$6=C7,Begegnungen!$E$7=C7,Begegnungen!$E$8=C7,Begegnungen!$E$9=C7),Begegnungen!$E$13,""))</f>
        <v>2</v>
      </c>
      <c r="E7" s="66">
        <f>IF(OR(Begegnungen!$I$3=C7,Begegnungen!$I$4=C7,Begegnungen!$I$5=C7,Begegnungen!$I$6=C7,Begegnungen!$I$7=C7,Begegnungen!$I$8=C7,Begegnungen!$I$9=C7),Begegnungen!$I$13,IF(OR(Begegnungen!$K$3=C7,Begegnungen!$K$4=C7,Begegnungen!$K$5=C7,Begegnungen!$K$6=C7,Begegnungen!$K$7=C7,Begegnungen!$K$8=C7,Begegnungen!$K$9=C7),Begegnungen!$K$13,""))</f>
        <v>1</v>
      </c>
      <c r="F7" s="66">
        <f>IF(OR(Begegnungen!$C$19=C7,Begegnungen!$C$20=C7,Begegnungen!$C$21=C7,Begegnungen!$C$22=C7,Begegnungen!$C$23=C7,Begegnungen!$C$24=C7,Begegnungen!$C$25=C7),Begegnungen!$C$29,IF(OR(Begegnungen!$E$19=C7,Begegnungen!$E$20=C7,Begegnungen!$E$21=C7,Begegnungen!$E$22=C7,Begegnungen!$E$23=C7,Begegnungen!$E$24=C7,Begegnungen!$E$25=C7),Begegnungen!$E$29,""))</f>
        <v>4</v>
      </c>
      <c r="G7" s="66">
        <f>IF(OR(Begegnungen!$I$19=C7,Begegnungen!$I$20=C7,Begegnungen!$I$21=C7,Begegnungen!$I$22=C7,Begegnungen!$I$23=C7,Begegnungen!$I$24=C7,Begegnungen!$I$25=C7),Begegnungen!$I$29,IF(OR(Begegnungen!$K$19=C7,Begegnungen!$K$20=C7,Begegnungen!$K$21=C7,Begegnungen!$K$22=C7,Begegnungen!$K$23=C7,Begegnungen!$K$24=C7,Begegnungen!$K$25=C7),Begegnungen!$K$29,""))</f>
        <v>2</v>
      </c>
      <c r="H7" s="66">
        <f>IF(OR(Begegnungen!$C$35=C7,Begegnungen!$C$36=C7,Begegnungen!$C$37=C7,Begegnungen!$C$38=C7,Begegnungen!$C$39=C7,Begegnungen!$C$40=C7,Begegnungen!$C$41=C7),Begegnungen!$C$46,IF(OR(Begegnungen!$E$35=C7,Begegnungen!$E$36=C7,Begegnungen!$E$37=C7,Begegnungen!$E$38=C7,Begegnungen!$E$39=C7,Begegnungen!$E$40=C7,Begegnungen!$E$41=C7),Begegnungen!$E$46,""))</f>
        <v>1</v>
      </c>
      <c r="I7" s="66" t="str">
        <f>IF(OR(Begegnungen!$I$35=C7,Begegnungen!$I$36=C7,Begegnungen!$I$37=C7,Begegnungen!$I$38=C7,Begegnungen!$I$39=C7,Begegnungen!$I$40=C7,Begegnungen!$I$41=C7),Begegnungen!$I$46,IF(OR(Begegnungen!$K$35=C7,Begegnungen!$K$36=C7,Begegnungen!$K$37=C7,Begegnungen!$K$38=C7,Begegnungen!$K$39=C7,Begegnungen!$K$40=C7,Begegnungen!$K$41=C7),Begegnungen!$K$46,""))</f>
        <v/>
      </c>
      <c r="J7" s="136">
        <f>IF(OR(Begegnungen!$C$52=C7,Begegnungen!$C$53=C7,Begegnungen!$C$54=C7,Begegnungen!$C$55=C7,Begegnungen!$C$56=C7,Begegnungen!$C$57=C7,Begegnungen!$C$58=C7),Begegnungen!$C$62,IF(OR(Begegnungen!$E$52=C7,Begegnungen!$E$53=C7,Begegnungen!$E$54=C7,Begegnungen!$E$55=C7,Begegnungen!$E$56=C7,Begegnungen!$E$57=C7,Begegnungen!$E$58=C7),Begegnungen!$E$62,""))</f>
        <v>3</v>
      </c>
      <c r="K7" s="66" t="str">
        <f>IF(OR(Begegnungen!$I$52=C7,Begegnungen!$I$53=C7,Begegnungen!$I$54=C7,Begegnungen!$I$55=C7,Begegnungen!$I$56=C7,Begegnungen!$I$57=C7,Begegnungen!$I$58=C7),Begegnungen!$I$62,IF(OR(Begegnungen!$K$52=C7,Begegnungen!$K$53=C7,Begegnungen!$K$54=C7,Begegnungen!$K$55=C7,Begegnungen!$K$56=C7,Begegnungen!$K$57=C7,Begegnungen!$K$58=C7),Begegnungen!$K$62,""))</f>
        <v/>
      </c>
      <c r="L7" s="136">
        <f>IF(OR(Begegnungen!$C69=C7,Begegnungen!$C$69=C7,Begegnungen!$C$70=C7,Begegnungen!$C$71=C7,Begegnungen!$C$72=C7,Begegnungen!$C$73=C7,Begegnungen!$C$74=C7),Begegnungen!$C$78,IF(OR(Begegnungen!$E$68=C7,Begegnungen!$E$69=C7,Begegnungen!$E$70=C7,Begegnungen!$E$71=C7,Begegnungen!$E$72=C7,Begegnungen!$E$73=C7,Begegnungen!$E$74=C7),Begegnungen!$E$78,""))</f>
        <v>4</v>
      </c>
      <c r="M7" s="66">
        <f>IF(OR(Begegnungen!$I69=C7,Begegnungen!$I$69=C7,Begegnungen!$I$70=C7,Begegnungen!$I$71=C7,Begegnungen!$I$72=C7,Begegnungen!$I$73=C7,Begegnungen!$I$74=C7),Begegnungen!$I$78,IF(OR(Begegnungen!$K$68=C7,Begegnungen!$K$69=C7,Begegnungen!$K$70=C7,Begegnungen!$K$71=C7,Begegnungen!$K$72=C7,Begegnungen!$K$73=C7,Begegnungen!$K$74=C7),Begegnungen!$K$78,""))</f>
        <v>1</v>
      </c>
      <c r="N7" s="66">
        <f>IF(OR(Begegnungen!$C85=C7,Begegnungen!$C$85=C7,Begegnungen!$C$86=C7,Begegnungen!$C$87=C7,Begegnungen!$C$88=C7,Begegnungen!$C$89=C7,Begegnungen!$C$90=C7),Begegnungen!$C$95,IF(OR(Begegnungen!$E$84=C7,Begegnungen!$E$85=C7,Begegnungen!$E$86=C7,Begegnungen!$E$87=C7,Begegnungen!$E$88=C7,Begegnungen!$E$89=C7,Begegnungen!$E$90=C7),Begegnungen!$E$95,""))</f>
        <v>1</v>
      </c>
      <c r="O7" s="66" t="str">
        <f>IF(OR(Begegnungen!$I85=C7,Begegnungen!$I$85=C7,Begegnungen!$I$86=C7,Begegnungen!$I$87=C7,Begegnungen!$I$88=C7,Begegnungen!$I$89=C7,Begegnungen!$I$90=C7),Begegnungen!$I$95,IF(OR(Begegnungen!$K$84=C7,Begegnungen!$K$85=C7,Begegnungen!$K$86=C7,Begegnungen!$K$87=C7,Begegnungen!$K$88=C7,Begegnungen!$K$89=C7,Begegnungen!$K$90=C7),Begegnungen!$K$95,""))</f>
        <v/>
      </c>
      <c r="P7" s="66" t="str">
        <f>IF(OR(Begegnungen!$C102=C7,Begegnungen!$C$102=C7,Begegnungen!$C$103=C7,Begegnungen!$C$104=C7,Begegnungen!$C$105=C7,Begegnungen!$C$106=C7,Begegnungen!$C$107=C7),Begegnungen!$C$111,IF(OR(Begegnungen!$E$101=C7,Begegnungen!$E$102=C7,Begegnungen!$E$103=C7,Begegnungen!$E$104=C7,Begegnungen!$E$105=C7,Begegnungen!$E$106=C7,Begegnungen!$E$107=C7),Begegnungen!$E$111,""))</f>
        <v/>
      </c>
      <c r="Q7" s="66">
        <f>IF(OR(Begegnungen!$I102=C7,Begegnungen!$I$102=C7,Begegnungen!$I$103=C7,Begegnungen!$I$104=C7,Begegnungen!$I$105=C7,Begegnungen!$I$106=C7,Begegnungen!$I$107=C7),Begegnungen!$I$111,IF(OR(Begegnungen!$K$101=C7,Begegnungen!$K$102=C7,Begegnungen!$K$103=C7,Begegnungen!$K$104=C7,Begegnungen!$K$105=C7,Begegnungen!$K$106=C7,Begegnungen!$K$107=C7),Begegnungen!$K$111,""))</f>
        <v>0</v>
      </c>
      <c r="R7" s="136" t="str">
        <f>IF(OR(Begegnungen!$C118=C7,Begegnungen!$C$118=C7,Begegnungen!$C$119=C7,Begegnungen!$C$120=C7,Begegnungen!$C$121=C7,Begegnungen!$C$122=C7,Begegnungen!$C$123=C7),Begegnungen!$C$127,IF(OR(Begegnungen!$E$117=C7,Begegnungen!$E$118=C7,Begegnungen!$E$119=C7,Begegnungen!$E$120=C7,Begegnungen!$E$121=C7,Begegnungen!$E$122=C7,Begegnungen!$E$123=C7),Begegnungen!$E$127,""))</f>
        <v/>
      </c>
      <c r="S7" s="66">
        <f>IF(OR(Begegnungen!$I$117=C7,Begegnungen!$I$118=C7,Begegnungen!$I$119=C7,Begegnungen!$I$120=C7,Begegnungen!$I$121=C7,Begegnungen!$I$122=C7,Begegnungen!$I$123=C7),Begegnungen!$I$127,IF(OR(Begegnungen!$K$117=C7,Begegnungen!$K$118=C7,Begegnungen!$K$119=C7,Begegnungen!$K$120=C7,Begegnungen!$K$121=C7,Begegnungen!$K$122=C7,Begegnungen!$K$123=C7),Begegnungen!$K$127,""))</f>
        <v>3</v>
      </c>
      <c r="T7" s="66">
        <f>IF(OR(Begegnungen!$C134=C7,Begegnungen!$C$134=C7,Begegnungen!$C$135=C7,Begegnungen!$C$136=C7,Begegnungen!$C$137=C7,Begegnungen!$C$138=C7,Begegnungen!$C$139=C7),Begegnungen!$C$143,IF(OR(Begegnungen!$E$133=C7,Begegnungen!$E$134=C7,Begegnungen!$E$135=C7,Begegnungen!$E$136=C7,Begegnungen!$E$137=C7,Begegnungen!$E$138=C7,Begegnungen!$E$139=C7),Begegnungen!$E$143,""))</f>
        <v>6</v>
      </c>
      <c r="U7" s="66">
        <f>IF(OR(Begegnungen!$I134=C7,Begegnungen!$I$134=C7,Begegnungen!$I$135=C7,Begegnungen!$I$136=C7,Begegnungen!$I$137=C7,Begegnungen!$I$138=C7,Begegnungen!$I$139=C7),Begegnungen!$I$143,IF(OR(Begegnungen!$K$133=C7,Begegnungen!$K$134=C7,Begegnungen!$K$135=C7,Begegnungen!$K$136=C7,Begegnungen!$K$137=C7,Begegnungen!$K$138=C7,Begegnungen!$K$139=C7),Begegnungen!$K$143,""))</f>
        <v>1</v>
      </c>
      <c r="V7" s="66">
        <f>IF(OR(Begegnungen!$C150=C7,Begegnungen!$C$150=C7,Begegnungen!$C$151=C7,Begegnungen!$C$152=C7,Begegnungen!$C$153=C7,Begegnungen!$C$154=C7,Begegnungen!$C$155=C7),Begegnungen!$C$159,IF(OR(Begegnungen!$E$149=C7,Begegnungen!$E$150=C7,Begegnungen!$E$151=C7,Begegnungen!$E$152=C7,Begegnungen!$E$153=C7,Begegnungen!$E$154=C7,Begegnungen!$E$155=C7),Begegnungen!$E$159,""))</f>
        <v>4</v>
      </c>
      <c r="W7" s="66" t="str">
        <f>IF(OR(Begegnungen!$I150=C7,Begegnungen!$I$150=C7,Begegnungen!$I$151=C7,Begegnungen!$I$152=C7,Begegnungen!$I$153=C7,Begegnungen!$I$154=C7,Begegnungen!$I$155=C7),Begegnungen!$I$159,IF(OR(Begegnungen!$K$149=C7,Begegnungen!$K$150=C7,Begegnungen!$K$151=C7,Begegnungen!$K$152=C7,Begegnungen!$K$153=C7,Begegnungen!$K$154=C7,Begegnungen!$K$155=C7),Begegnungen!$K$159,""))</f>
        <v/>
      </c>
      <c r="X7" s="66" t="str">
        <f>IF(OR(Begegnungen!$C166=C7,Begegnungen!$C$166=C7,Begegnungen!$C$167=C7,Begegnungen!$C$168=C7,Begegnungen!$C$169=C7,Begegnungen!$C$170=C7,Begegnungen!$C$171=C7),Begegnungen!$C$175,IF(OR(Begegnungen!$E$165=C7,Begegnungen!$E$166=C7,Begegnungen!$E$167=C7,Begegnungen!$E$168=C7,Begegnungen!$E$169=C7,Begegnungen!$E$170=C7,Begegnungen!$E$171=C7),Begegnungen!$E$175,""))</f>
        <v/>
      </c>
      <c r="Y7" s="66">
        <f>IF(OR(Begegnungen!$I166=C7,Begegnungen!$I$166=C7,Begegnungen!$I$167=C7,Begegnungen!$I$168=C7,Begegnungen!$I$169=C7,Begegnungen!$I$170=C7,Begegnungen!$I$171=C7),Begegnungen!$I$175,IF(OR(Begegnungen!$K$165=C7,Begegnungen!$K$166=C7,Begegnungen!$K$167=C7,Begegnungen!$K$168=C7,Begegnungen!$K$169=C7,Begegnungen!$K$170=C7,Begegnungen!$K$171=C7),Begegnungen!$K$175,""))</f>
        <v>4</v>
      </c>
      <c r="Z7" s="66" t="str">
        <f>IF(OR(Begegnungen!$C182=C7,Begegnungen!$C$182=C7,Begegnungen!$C$183=C7,Begegnungen!$C$184=C7,Begegnungen!$C$185=C7,Begegnungen!$C$186=C7,Begegnungen!$C$187=C7),Begegnungen!$C$191,IF(OR(Begegnungen!$E$181=C7,Begegnungen!$E$182=C7,Begegnungen!$E$183=C7,Begegnungen!$E$184=C7,Begegnungen!$E$185=C7,Begegnungen!$E$186=C7,Begegnungen!$E$187=C7),Begegnungen!$E$191,""))</f>
        <v/>
      </c>
      <c r="AA7" s="66">
        <f>IF(OR(Begegnungen!$I182=C7,Begegnungen!$I$182=C7,Begegnungen!$I$183=C7,Begegnungen!$I$184=C7,Begegnungen!$I$185=C7,Begegnungen!$I$186=C7,Begegnungen!$I$187=C7),Begegnungen!$I$191,IF(OR(Begegnungen!$K$181=C7,Begegnungen!$K$182=C7,Begegnungen!$K$183=C7,Begegnungen!$K$184=C7,Begegnungen!$K$185=C7,Begegnungen!$K$186=C7,Begegnungen!$K$187=C7),Begegnungen!$K$191,""))</f>
        <v>2</v>
      </c>
      <c r="AB7" s="66" t="str">
        <f>IF(OR(Begegnungen!$C198=C7,Begegnungen!$C$198=C7,Begegnungen!$C$199=C7,Begegnungen!$C$200=C7,Begegnungen!$C$201=C7,Begegnungen!$C$202=C7,Begegnungen!$C$203=C7),Begegnungen!$C$207,IF(OR(Begegnungen!$E$197=C7,Begegnungen!$E$198=C7,Begegnungen!$E$199=C7,Begegnungen!$E$200=C7,Begegnungen!$E$201=C7,Begegnungen!$E$202=C7,Begegnungen!$E$203=C7),Begegnungen!$E$207,""))</f>
        <v/>
      </c>
      <c r="AC7" s="66">
        <f>IF(OR(Begegnungen!$I198=C7,Begegnungen!$I$198=C7,Begegnungen!$I$199=C7,Begegnungen!$I$200=C7,Begegnungen!$I$201=C7,Begegnungen!$I$202=C7,Begegnungen!$I$203=C7),Begegnungen!$I$207,IF(OR(Begegnungen!$K$197=C7,Begegnungen!$K$198=C7,Begegnungen!$K$199=C7,Begegnungen!$K$200=C7,Begegnungen!$K$201=C7,Begegnungen!$K$202=C7,Begegnungen!$K$203=C7),Begegnungen!$K$207,""))</f>
        <v>5</v>
      </c>
      <c r="AD7" s="66" t="str">
        <f>IF(OR(Begegnungen!$C214=C7,Begegnungen!$C$214=C7,Begegnungen!$C$215=C7,Begegnungen!$C$216=C7,Begegnungen!$C$217=C7,Begegnungen!$C$218=C7,Begegnungen!$C$219=C7),Begegnungen!$C$223,IF(OR(Begegnungen!$E$213=C7,Begegnungen!$E$214=C7,Begegnungen!$E$215=C7,Begegnungen!$E$216=C7,Begegnungen!$E$217=C7,Begegnungen!$E$218=C7,Begegnungen!$E$219=C7),Begegnungen!$E$223,""))</f>
        <v/>
      </c>
      <c r="AE7" s="66">
        <f>IF(OR(Begegnungen!$I214=C7,Begegnungen!$I$214=C7,Begegnungen!$I$215=C7,Begegnungen!$I$216=C7,Begegnungen!$I$217=C7,Begegnungen!$I$218=C7,Begegnungen!$I$219=C7),Begegnungen!$I$223,IF(OR(Begegnungen!$K$213=C7,Begegnungen!$K$214=C7,Begegnungen!$K$215=C7,Begegnungen!$K$216=C7,Begegnungen!$K$217=C7,Begegnungen!$K$218=C7,Begegnungen!$K$219=C7),Begegnungen!$K$223,""))</f>
        <v>4</v>
      </c>
      <c r="AF7" s="136">
        <f>IF(OR(Begegnungen!$C230=C7,Begegnungen!$C$230=C7,Begegnungen!$C$231=C7,Begegnungen!$C$232=C7,Begegnungen!$C$233=C7,Begegnungen!$C$234=C7,Begegnungen!$C$235=C7),Begegnungen!$C$239,IF(OR(Begegnungen!$E$229=C7,Begegnungen!$E$230=C7,Begegnungen!$E$231=C7,Begegnungen!$E$232=C7,Begegnungen!$E$233=C7,Begegnungen!$E$234=C7,Begegnungen!$E$235=C7),Begegnungen!$E$239,""))</f>
        <v>0</v>
      </c>
      <c r="AG7" s="66">
        <f>IF(OR(Begegnungen!$I230=C7,Begegnungen!$I$230=C7,Begegnungen!$I$231=C7,Begegnungen!$I$232=C7,Begegnungen!$I$233=C7,Begegnungen!$I$234=C7,Begegnungen!$I$235=C7),Begegnungen!$I$239,IF(OR(Begegnungen!$K$229=C7,Begegnungen!$K$230=C7,Begegnungen!$K$231=C7,Begegnungen!$K$232=C7,Begegnungen!$K$233=C7,Begegnungen!$K$234=C7,Begegnungen!$K$235=C7),Begegnungen!$K$239,""))</f>
        <v>5</v>
      </c>
      <c r="AH7" s="66">
        <f>IF(OR(Begegnungen!$C246=C7,Begegnungen!$C$246=C7,Begegnungen!$C$247=C7,Begegnungen!$C$248=C7,Begegnungen!$C$249=C7,Begegnungen!$C$250=C7,Begegnungen!$C$251=C7),Begegnungen!$C$255,IF(OR(Begegnungen!$E$245=C7,Begegnungen!$E$246=C7,Begegnungen!$E$247=C7,Begegnungen!$E$248=C7,Begegnungen!$E$249=C7,Begegnungen!$E$250=C7,Begegnungen!$E$251=C7),Begegnungen!$E$255,""))</f>
        <v>2</v>
      </c>
      <c r="AI7" s="66">
        <f>IF(OR(Begegnungen!$I246=C7,Begegnungen!$I$246=C7,Begegnungen!$I$247=C7,Begegnungen!$I$248=C7,Begegnungen!$I$249=C7,Begegnungen!$I$250=C7,Begegnungen!$I$251=C7),Begegnungen!$I$255,IF(OR(Begegnungen!$K$245=C7,Begegnungen!$K$246=C7,Begegnungen!$K$247=C7,Begegnungen!$K$248=C7,Begegnungen!$K$249=C7,Begegnungen!$K$250=C7,Begegnungen!$K$251=C7),Begegnungen!$K$255,""))</f>
        <v>2</v>
      </c>
      <c r="AJ7" s="66">
        <f>IF(OR(Begegnungen!$C262=C7,Begegnungen!$C$262=C7,Begegnungen!$C$263=C7,Begegnungen!$C$264=C7,Begegnungen!$C$265=C7,Begegnungen!$C$266=C7,Begegnungen!$C$267=C7),Begegnungen!$C$271,IF(OR(Begegnungen!$E$261=C7,Begegnungen!$E$262=C7,Begegnungen!$E$263=C7,Begegnungen!$E$264=C7,Begegnungen!$E$265=C7,Begegnungen!$E$266=C7,Begegnungen!$E$267=C7),Begegnungen!$E$271,""))</f>
        <v>5</v>
      </c>
      <c r="AK7" s="66">
        <f>IF(OR(Begegnungen!$I262=C7,Begegnungen!$I$262=C7,Begegnungen!$I$263=C7,Begegnungen!$I$264=C7,Begegnungen!$I$265=C7,Begegnungen!$I$266=C7,Begegnungen!$I$267=C7),Begegnungen!$I$271,IF(OR(Begegnungen!$K$261=C7,Begegnungen!$K$262=C7,Begegnungen!$K$263=C7,Begegnungen!$K$264=C7,Begegnungen!$K$265=C7,Begegnungen!$K$266=C7,Begegnungen!$K$267=C7),Begegnungen!$K$271,""))</f>
        <v>1</v>
      </c>
      <c r="AL7" s="66">
        <f>IF(OR(Begegnungen!$C278=C7,Begegnungen!$C$278=C7,Begegnungen!$C$279=C7,Begegnungen!$C$280=C7,Begegnungen!$C$281=C7,Begegnungen!$C$282=C7,Begegnungen!$C$283=C7),Begegnungen!$C$287,IF(OR(Begegnungen!$E$277=C7,Begegnungen!$E$278=C7,Begegnungen!$E$279=C7,Begegnungen!$E$280=C7,Begegnungen!$E$281=C7,Begegnungen!$E$282=C7,Begegnungen!$E$283=C7),Begegnungen!$E$287,""))</f>
        <v>3</v>
      </c>
      <c r="AM7" s="136">
        <f>IF(OR(Begegnungen!$I278=C7,Begegnungen!$I$278=C7,Begegnungen!$I$279=C7,Begegnungen!$I$280=C7,Begegnungen!$I$281=C7,Begegnungen!$I$282=C7,Begegnungen!$I$283=C7),Begegnungen!$I$287,IF(OR(Begegnungen!$K$277=C7,Begegnungen!$K$278=C7,Begegnungen!$K$279=C7,Begegnungen!$K$280=C7,Begegnungen!$K$281=C7,Begegnungen!$K$282=C7,Begegnungen!$K$283=C7),Begegnungen!$K$287,""))</f>
        <v>2</v>
      </c>
      <c r="AN7" s="66">
        <f>IF(OR(Begegnungen!$C294=C7,Begegnungen!$C$294=C7,Begegnungen!$C$295=C7,Begegnungen!$C$296=C7,Begegnungen!$C$297=C7,Begegnungen!$C$298=C7,Begegnungen!$C$299=C7),Begegnungen!$C$303,IF(OR(Begegnungen!$E$293=C7,Begegnungen!$E$294=C7,Begegnungen!$E$295=C7,Begegnungen!$E$296=C7,Begegnungen!$E$297=C7,Begegnungen!$E$298=C7,Begegnungen!$E$299=C7),Begegnungen!$E$303,""))</f>
        <v>0</v>
      </c>
      <c r="AO7" s="136" t="str">
        <f>IF(OR(Begegnungen!$I294=C7,Begegnungen!$I$294=C7,Begegnungen!$I$295=C7,Begegnungen!$I$296=C7,Begegnungen!$I$297=C7,Begegnungen!$I$298=C7,Begegnungen!$I$299=C7),Begegnungen!$I$303,IF(OR(Begegnungen!$K$293=C7,Begegnungen!$K$294=C7,Begegnungen!$K$295=C7,Begegnungen!$K$296=C7,Begegnungen!$K$297=C7,Begegnungen!$K$298=C7,Begegnungen!$K$299=C7),Begegnungen!$K$303,""))</f>
        <v/>
      </c>
      <c r="AP7" s="136">
        <f>IF(OR(Begegnungen!$C310=C7,Begegnungen!$C$310=C7,Begegnungen!$C$311=C7,Begegnungen!$C$312=C7,Begegnungen!$C$313=C7,Begegnungen!$C$314=C7,Begegnungen!$C$315=C7),Begegnungen!$C$319,IF(OR(Begegnungen!$E$309=C7,Begegnungen!$E$310=C7,Begegnungen!$E$311=C7,Begegnungen!$E$312=C7,Begegnungen!$E$313=C7,Begegnungen!$E$314=C7,Begegnungen!$E$315=C7),Begegnungen!$E$319,""))</f>
        <v>7</v>
      </c>
      <c r="AQ7" s="66">
        <f>IF(OR(Begegnungen!$I310=C7,Begegnungen!$I$310=C7,Begegnungen!$I$311=C7,Begegnungen!$I$312=C7,Begegnungen!$I$313=C7,Begegnungen!$I$314=C7,Begegnungen!$I$315=C7),Begegnungen!$I$319,IF(OR(Begegnungen!$K$309=C7,Begegnungen!$K$310=C7,Begegnungen!$K$311=C7,Begegnungen!$K$312=C7,Begegnungen!$K$313=C7,Begegnungen!$K$314=C7,Begegnungen!$K$315=C7),Begegnungen!$K$319,""))</f>
        <v>1</v>
      </c>
      <c r="AR7" s="25">
        <f t="shared" si="0"/>
        <v>76</v>
      </c>
      <c r="AS7" s="139">
        <f>Spiele!AS7</f>
        <v>30</v>
      </c>
      <c r="AT7" s="140">
        <f t="shared" ref="AT7:AT23" si="1">AR7/AS7</f>
        <v>2.5333333333333332</v>
      </c>
    </row>
    <row r="8" spans="2:46" x14ac:dyDescent="0.25">
      <c r="B8" s="4">
        <v>3</v>
      </c>
      <c r="C8" s="146" t="s">
        <v>119</v>
      </c>
      <c r="D8" s="148">
        <f>IF(OR(Begegnungen!$C$3=C8,Begegnungen!$C$4=C8,Begegnungen!$C$5=C8,Begegnungen!$C$6=C8,Begegnungen!$C$7=C8,Begegnungen!$C$8=C8,Begegnungen!$C$9=C8),Begegnungen!$C$13,IF(OR(Begegnungen!$E$3=C8,Begegnungen!$E$4=C8,Begegnungen!$E$5=C8,Begegnungen!$E$6=C8,Begegnungen!$E$7=C8,Begegnungen!$E$8=C8,Begegnungen!$E$9=C8),Begegnungen!$E$13,""))</f>
        <v>2</v>
      </c>
      <c r="E8" s="66">
        <f>IF(OR(Begegnungen!$I$3=C8,Begegnungen!$I$4=C8,Begegnungen!$I$5=C8,Begegnungen!$I$6=C8,Begegnungen!$I$7=C8,Begegnungen!$I$8=C8,Begegnungen!$I$9=C8),Begegnungen!$I$13,IF(OR(Begegnungen!$K$3=C8,Begegnungen!$K$4=C8,Begegnungen!$K$5=C8,Begegnungen!$K$6=C8,Begegnungen!$K$7=C8,Begegnungen!$K$8=C8,Begegnungen!$K$9=C8),Begegnungen!$K$13,""))</f>
        <v>0</v>
      </c>
      <c r="F8" s="66">
        <f>IF(OR(Begegnungen!$C$19=C8,Begegnungen!$C$20=C8,Begegnungen!$C$21=C8,Begegnungen!$C$22=C8,Begegnungen!$C$23=C8,Begegnungen!$C$24=C8,Begegnungen!$C$25=C8),Begegnungen!$C$29,IF(OR(Begegnungen!$E$19=C8,Begegnungen!$E$20=C8,Begegnungen!$E$21=C8,Begegnungen!$E$22=C8,Begegnungen!$E$23=C8,Begegnungen!$E$24=C8,Begegnungen!$E$25=C8),Begegnungen!$E$29,""))</f>
        <v>6</v>
      </c>
      <c r="G8" s="66">
        <f>IF(OR(Begegnungen!$I$19=C8,Begegnungen!$I$20=C8,Begegnungen!$I$21=C8,Begegnungen!$I$22=C8,Begegnungen!$I$23=C8,Begegnungen!$I$24=C8,Begegnungen!$I$25=C8),Begegnungen!$I$29,IF(OR(Begegnungen!$K$19=C8,Begegnungen!$K$20=C8,Begegnungen!$K$21=C8,Begegnungen!$K$22=C8,Begegnungen!$K$23=C8,Begegnungen!$K$24=C8,Begegnungen!$K$25=C8),Begegnungen!$K$29,""))</f>
        <v>2</v>
      </c>
      <c r="H8" s="66">
        <f>IF(OR(Begegnungen!$C$35=C8,Begegnungen!$C$36=C8,Begegnungen!$C$37=C8,Begegnungen!$C$38=C8,Begegnungen!$C$39=C8,Begegnungen!$C$40=C8,Begegnungen!$C$41=C8),Begegnungen!$C$46,IF(OR(Begegnungen!$E$35=C8,Begegnungen!$E$36=C8,Begegnungen!$E$37=C8,Begegnungen!$E$38=C8,Begegnungen!$E$39=C8,Begegnungen!$E$40=C8,Begegnungen!$E$41=C8),Begegnungen!$E$46,""))</f>
        <v>1</v>
      </c>
      <c r="I8" s="66" t="str">
        <f>IF(OR(Begegnungen!$I$35=C8,Begegnungen!$I$36=C8,Begegnungen!$I$37=C8,Begegnungen!$I$38=C8,Begegnungen!$I$39=C8,Begegnungen!$I$40=C8,Begegnungen!$I$41=C8),Begegnungen!$I$46,IF(OR(Begegnungen!$K$35=C8,Begegnungen!$K$36=C8,Begegnungen!$K$37=C8,Begegnungen!$K$38=C8,Begegnungen!$K$39=C8,Begegnungen!$K$40=C8,Begegnungen!$K$41=C8),Begegnungen!$K$46,""))</f>
        <v/>
      </c>
      <c r="J8" s="136">
        <f>IF(OR(Begegnungen!$C$52=C8,Begegnungen!$C$53=C8,Begegnungen!$C$54=C8,Begegnungen!$C$55=C8,Begegnungen!$C$56=C8,Begegnungen!$C$57=C8,Begegnungen!$C$58=C8),Begegnungen!$C$62,IF(OR(Begegnungen!$E$52=C8,Begegnungen!$E$53=C8,Begegnungen!$E$54=C8,Begegnungen!$E$55=C8,Begegnungen!$E$56=C8,Begegnungen!$E$57=C8,Begegnungen!$E$58=C8),Begegnungen!$E$62,""))</f>
        <v>3</v>
      </c>
      <c r="K8" s="66">
        <f>IF(OR(Begegnungen!$I$52=C8,Begegnungen!$I$53=C8,Begegnungen!$I$54=C8,Begegnungen!$I$55=C8,Begegnungen!$I$56=C8,Begegnungen!$I$57=C8,Begegnungen!$I$58=C8),Begegnungen!$I$62,IF(OR(Begegnungen!$K$52=C8,Begegnungen!$K$53=C8,Begegnungen!$K$54=C8,Begegnungen!$K$55=C8,Begegnungen!$K$56=C8,Begegnungen!$K$57=C8,Begegnungen!$K$58=C8),Begegnungen!$K$62,""))</f>
        <v>1</v>
      </c>
      <c r="L8" s="136" t="str">
        <f>IF(OR(Begegnungen!$C70=C8,Begegnungen!$C$69=C8,Begegnungen!$C$70=C8,Begegnungen!$C$71=C8,Begegnungen!$C$72=C8,Begegnungen!$C$73=C8,Begegnungen!$C$74=C8),Begegnungen!$C$78,IF(OR(Begegnungen!$E$68=C8,Begegnungen!$E$69=C8,Begegnungen!$E$70=C8,Begegnungen!$E$71=C8,Begegnungen!$E$72=C8,Begegnungen!$E$73=C8,Begegnungen!$E$74=C8),Begegnungen!$E$78,""))</f>
        <v/>
      </c>
      <c r="M8" s="66">
        <f>IF(OR(Begegnungen!$I70=C8,Begegnungen!$I$69=C8,Begegnungen!$I$70=C8,Begegnungen!$I$71=C8,Begegnungen!$I$72=C8,Begegnungen!$I$73=C8,Begegnungen!$I$74=C8),Begegnungen!$I$78,IF(OR(Begegnungen!$K$68=C8,Begegnungen!$K$69=C8,Begegnungen!$K$70=C8,Begegnungen!$K$71=C8,Begegnungen!$K$72=C8,Begegnungen!$K$73=C8,Begegnungen!$K$74=C8),Begegnungen!$K$78,""))</f>
        <v>0</v>
      </c>
      <c r="N8" s="66">
        <f>IF(OR(Begegnungen!$C86=C8,Begegnungen!$C$85=C8,Begegnungen!$C$86=C8,Begegnungen!$C$87=C8,Begegnungen!$C$88=C8,Begegnungen!$C$89=C8,Begegnungen!$C$90=C8),Begegnungen!$C$95,IF(OR(Begegnungen!$E$84=C8,Begegnungen!$E$85=C8,Begegnungen!$E$86=C8,Begegnungen!$E$87=C8,Begegnungen!$E$88=C8,Begegnungen!$E$89=C8,Begegnungen!$E$90=C8),Begegnungen!$E$95,""))</f>
        <v>3</v>
      </c>
      <c r="O8" s="66">
        <f>IF(OR(Begegnungen!$I86=C8,Begegnungen!$I$85=C8,Begegnungen!$I$86=C8,Begegnungen!$I$87=C8,Begegnungen!$I$88=C8,Begegnungen!$I$89=C8,Begegnungen!$I$90=C8),Begegnungen!$I$95,IF(OR(Begegnungen!$K$84=C8,Begegnungen!$K$85=C8,Begegnungen!$K$86=C8,Begegnungen!$K$87=C8,Begegnungen!$K$88=C8,Begegnungen!$K$89=C8,Begegnungen!$K$90=C8),Begegnungen!$K$95,""))</f>
        <v>1</v>
      </c>
      <c r="P8" s="66">
        <f>IF(OR(Begegnungen!$C103=C8,Begegnungen!$C$102=C8,Begegnungen!$C$103=C8,Begegnungen!$C$104=C8,Begegnungen!$C$105=C8,Begegnungen!$C$106=C8,Begegnungen!$C$107=C8),Begegnungen!$C$111,IF(OR(Begegnungen!$E$101=C8,Begegnungen!$E$102=C8,Begegnungen!$E$103=C8,Begegnungen!$E$104=C8,Begegnungen!$E$105=C8,Begegnungen!$E$106=C8,Begegnungen!$E$107=C8),Begegnungen!$E$111,""))</f>
        <v>3</v>
      </c>
      <c r="Q8" s="66">
        <f>IF(OR(Begegnungen!$I103=C8,Begegnungen!$I$102=C8,Begegnungen!$I$103=C8,Begegnungen!$I$104=C8,Begegnungen!$I$105=C8,Begegnungen!$I$106=C8,Begegnungen!$I$107=C8),Begegnungen!$I$111,IF(OR(Begegnungen!$K$101=C8,Begegnungen!$K$102=C8,Begegnungen!$K$103=C8,Begegnungen!$K$104=C8,Begegnungen!$K$105=C8,Begegnungen!$K$106=C8,Begegnungen!$K$107=C8),Begegnungen!$K$111,""))</f>
        <v>3</v>
      </c>
      <c r="R8" s="136">
        <f>IF(OR(Begegnungen!$C119=C8,Begegnungen!$C$118=C8,Begegnungen!$C$119=C8,Begegnungen!$C$120=C8,Begegnungen!$C$121=C8,Begegnungen!$C$122=C8,Begegnungen!$C$123=C8),Begegnungen!$C$127,IF(OR(Begegnungen!$E$117=C8,Begegnungen!$E$118=C8,Begegnungen!$E$119=C8,Begegnungen!$E$120=C8,Begegnungen!$E$121=C8,Begegnungen!$E$122=C8,Begegnungen!$E$123=C8),Begegnungen!$E$127,""))</f>
        <v>4</v>
      </c>
      <c r="S8" s="66">
        <f>IF(OR(Begegnungen!$I$117=C8,Begegnungen!$I$118=C8,Begegnungen!$I$119=C8,Begegnungen!$I$120=C8,Begegnungen!$I$121=C8,Begegnungen!$I$122=C8,Begegnungen!$I$123=C8),Begegnungen!$I$127,IF(OR(Begegnungen!$K$117=C8,Begegnungen!$K$118=C8,Begegnungen!$K$119=C8,Begegnungen!$K$120=C8,Begegnungen!$K$121=C8,Begegnungen!$K$122=C8,Begegnungen!$K$123=C8),Begegnungen!$K$127,""))</f>
        <v>4</v>
      </c>
      <c r="T8" s="66">
        <f>IF(OR(Begegnungen!$C135=C8,Begegnungen!$C$134=C8,Begegnungen!$C$135=C8,Begegnungen!$C$136=C8,Begegnungen!$C$137=C8,Begegnungen!$C$138=C8,Begegnungen!$C$139=C8),Begegnungen!$C$143,IF(OR(Begegnungen!$E$133=C8,Begegnungen!$E$134=C8,Begegnungen!$E$135=C8,Begegnungen!$E$136=C8,Begegnungen!$E$137=C8,Begegnungen!$E$138=C8,Begegnungen!$E$139=C8),Begegnungen!$E$143,""))</f>
        <v>6</v>
      </c>
      <c r="U8" s="66">
        <f>IF(OR(Begegnungen!$I135=C8,Begegnungen!$I$134=C8,Begegnungen!$I$135=C8,Begegnungen!$I$136=C8,Begegnungen!$I$137=C8,Begegnungen!$I$138=C8,Begegnungen!$I$139=C8),Begegnungen!$I$143,IF(OR(Begegnungen!$K$133=C8,Begegnungen!$K$134=C8,Begegnungen!$K$135=C8,Begegnungen!$K$136=C8,Begegnungen!$K$137=C8,Begegnungen!$K$138=C8,Begegnungen!$K$139=C8),Begegnungen!$K$143,""))</f>
        <v>2</v>
      </c>
      <c r="V8" s="66">
        <f>IF(OR(Begegnungen!$C151=C8,Begegnungen!$C$150=C8,Begegnungen!$C$151=C8,Begegnungen!$C$152=C8,Begegnungen!$C$153=C8,Begegnungen!$C$154=C8,Begegnungen!$C$155=C8),Begegnungen!$C$159,IF(OR(Begegnungen!$E$149=C8,Begegnungen!$E$150=C8,Begegnungen!$E$151=C8,Begegnungen!$E$152=C8,Begegnungen!$E$153=C8,Begegnungen!$E$154=C8,Begegnungen!$E$155=C8),Begegnungen!$E$159,""))</f>
        <v>0</v>
      </c>
      <c r="W8" s="66">
        <f>IF(OR(Begegnungen!$I151=C8,Begegnungen!$I$150=C8,Begegnungen!$I$151=C8,Begegnungen!$I$152=C8,Begegnungen!$I$153=C8,Begegnungen!$I$154=C8,Begegnungen!$I$155=C8),Begegnungen!$I$159,IF(OR(Begegnungen!$K$149=C8,Begegnungen!$K$150=C8,Begegnungen!$K$151=C8,Begegnungen!$K$152=C8,Begegnungen!$K$153=C8,Begegnungen!$K$154=C8,Begegnungen!$K$155=C8),Begegnungen!$K$159,""))</f>
        <v>10</v>
      </c>
      <c r="X8" s="66">
        <f>IF(OR(Begegnungen!$C167=C8,Begegnungen!$C$166=C8,Begegnungen!$C$167=C8,Begegnungen!$C$168=C8,Begegnungen!$C$169=C8,Begegnungen!$C$170=C8,Begegnungen!$C$171=C8),Begegnungen!$C$175,IF(OR(Begegnungen!$E$165=C8,Begegnungen!$E$166=C8,Begegnungen!$E$167=C8,Begegnungen!$E$168=C8,Begegnungen!$E$169=C8,Begegnungen!$E$170=C8,Begegnungen!$E$171=C8),Begegnungen!$E$175,""))</f>
        <v>7</v>
      </c>
      <c r="Y8" s="66">
        <f>IF(OR(Begegnungen!$I167=C8,Begegnungen!$I$166=C8,Begegnungen!$I$167=C8,Begegnungen!$I$168=C8,Begegnungen!$I$169=C8,Begegnungen!$I$170=C8,Begegnungen!$I$171=C8),Begegnungen!$I$175,IF(OR(Begegnungen!$K$165=C8,Begegnungen!$K$166=C8,Begegnungen!$K$167=C8,Begegnungen!$K$168=C8,Begegnungen!$K$169=C8,Begegnungen!$K$170=C8,Begegnungen!$K$171=C8),Begegnungen!$K$175,""))</f>
        <v>0</v>
      </c>
      <c r="Z8" s="66" t="str">
        <f>IF(OR(Begegnungen!$C183=C8,Begegnungen!$C$182=C8,Begegnungen!$C$183=C8,Begegnungen!$C$184=C8,Begegnungen!$C$185=C8,Begegnungen!$C$186=C8,Begegnungen!$C$187=C8),Begegnungen!$C$191,IF(OR(Begegnungen!$E$181=C8,Begegnungen!$E$182=C8,Begegnungen!$E$183=C8,Begegnungen!$E$184=C8,Begegnungen!$E$185=C8,Begegnungen!$E$186=C8,Begegnungen!$E$187=C8),Begegnungen!$E$191,""))</f>
        <v/>
      </c>
      <c r="AA8" s="66" t="str">
        <f>IF(OR(Begegnungen!$I183=C8,Begegnungen!$I$182=C8,Begegnungen!$I$183=C8,Begegnungen!$I$184=C8,Begegnungen!$I$185=C8,Begegnungen!$I$186=C8,Begegnungen!$I$187=C8),Begegnungen!$I$191,IF(OR(Begegnungen!$K$181=C8,Begegnungen!$K$182=C8,Begegnungen!$K$183=C8,Begegnungen!$K$184=C8,Begegnungen!$K$185=C8,Begegnungen!$K$186=C8,Begegnungen!$K$187=C8),Begegnungen!$K$191,""))</f>
        <v/>
      </c>
      <c r="AB8" s="66">
        <f>IF(OR(Begegnungen!$C199=C8,Begegnungen!$C$198=C8,Begegnungen!$C$199=C8,Begegnungen!$C$200=C8,Begegnungen!$C$201=C8,Begegnungen!$C$202=C8,Begegnungen!$C$203=C8),Begegnungen!$C$207,IF(OR(Begegnungen!$E$197=C8,Begegnungen!$E$198=C8,Begegnungen!$E$199=C8,Begegnungen!$E$200=C8,Begegnungen!$E$201=C8,Begegnungen!$E$202=C8,Begegnungen!$E$203=C8),Begegnungen!$E$207,""))</f>
        <v>1</v>
      </c>
      <c r="AC8" s="66">
        <f>IF(OR(Begegnungen!$I199=C8,Begegnungen!$I$198=C8,Begegnungen!$I$199=C8,Begegnungen!$I$200=C8,Begegnungen!$I$201=C8,Begegnungen!$I$202=C8,Begegnungen!$I$203=C8),Begegnungen!$I$207,IF(OR(Begegnungen!$K$197=C8,Begegnungen!$K$198=C8,Begegnungen!$K$199=C8,Begegnungen!$K$200=C8,Begegnungen!$K$201=C8,Begegnungen!$K$202=C8,Begegnungen!$K$203=C8),Begegnungen!$K$207,""))</f>
        <v>2</v>
      </c>
      <c r="AD8" s="66">
        <f>IF(OR(Begegnungen!$C215=C8,Begegnungen!$C$214=C8,Begegnungen!$C$215=C8,Begegnungen!$C$216=C8,Begegnungen!$C$217=C8,Begegnungen!$C$218=C8,Begegnungen!$C$219=C8),Begegnungen!$C$223,IF(OR(Begegnungen!$E$213=C8,Begegnungen!$E$214=C8,Begegnungen!$E$215=C8,Begegnungen!$E$216=C8,Begegnungen!$E$217=C8,Begegnungen!$E$218=C8,Begegnungen!$E$219=C8),Begegnungen!$E$223,""))</f>
        <v>3</v>
      </c>
      <c r="AE8" s="66">
        <f>IF(OR(Begegnungen!$I215=C8,Begegnungen!$I$214=C8,Begegnungen!$I$215=C8,Begegnungen!$I$216=C8,Begegnungen!$I$217=C8,Begegnungen!$I$218=C8,Begegnungen!$I$219=C8),Begegnungen!$I$223,IF(OR(Begegnungen!$K$213=C8,Begegnungen!$K$214=C8,Begegnungen!$K$215=C8,Begegnungen!$K$216=C8,Begegnungen!$K$217=C8,Begegnungen!$K$218=C8,Begegnungen!$K$219=C8),Begegnungen!$K$223,""))</f>
        <v>4</v>
      </c>
      <c r="AF8" s="136">
        <f>IF(OR(Begegnungen!$C231=C8,Begegnungen!$C$230=C8,Begegnungen!$C$231=C8,Begegnungen!$C$232=C8,Begegnungen!$C$233=C8,Begegnungen!$C$234=C8,Begegnungen!$C$235=C8),Begegnungen!$C$239,IF(OR(Begegnungen!$E$229=C8,Begegnungen!$E$230=C8,Begegnungen!$E$231=C8,Begegnungen!$E$232=C8,Begegnungen!$E$233=C8,Begegnungen!$E$234=C8,Begegnungen!$E$235=C8),Begegnungen!$E$239,""))</f>
        <v>4</v>
      </c>
      <c r="AG8" s="66" t="str">
        <f>IF(OR(Begegnungen!$I231=C8,Begegnungen!$I$230=C8,Begegnungen!$I$231=C8,Begegnungen!$I$232=C8,Begegnungen!$I$233=C8,Begegnungen!$I$234=C8,Begegnungen!$I$235=C8),Begegnungen!$I$239,IF(OR(Begegnungen!$K$229=C8,Begegnungen!$K$230=C8,Begegnungen!$K$231=C8,Begegnungen!$K$232=C8,Begegnungen!$K$233=C8,Begegnungen!$K$234=C8,Begegnungen!$K$235=C8),Begegnungen!$K$239,""))</f>
        <v/>
      </c>
      <c r="AH8" s="66">
        <f>IF(OR(Begegnungen!$C247=C8,Begegnungen!$C$246=C8,Begegnungen!$C$247=C8,Begegnungen!$C$248=C8,Begegnungen!$C$249=C8,Begegnungen!$C$250=C8,Begegnungen!$C$251=C8),Begegnungen!$C$255,IF(OR(Begegnungen!$E$245=C8,Begegnungen!$E$246=C8,Begegnungen!$E$247=C8,Begegnungen!$E$248=C8,Begegnungen!$E$249=C8,Begegnungen!$E$250=C8,Begegnungen!$E$251=C8),Begegnungen!$E$255,""))</f>
        <v>4</v>
      </c>
      <c r="AI8" s="66" t="str">
        <f>IF(OR(Begegnungen!$I247=C8,Begegnungen!$I$246=C8,Begegnungen!$I$247=C8,Begegnungen!$I$248=C8,Begegnungen!$I$249=C8,Begegnungen!$I$250=C8,Begegnungen!$I$251=C8),Begegnungen!$I$255,IF(OR(Begegnungen!$K$245=C8,Begegnungen!$K$246=C8,Begegnungen!$K$247=C8,Begegnungen!$K$248=C8,Begegnungen!$K$249=C8,Begegnungen!$K$250=C8,Begegnungen!$K$251=C8),Begegnungen!$K$255,""))</f>
        <v/>
      </c>
      <c r="AJ8" s="66" t="str">
        <f>IF(OR(Begegnungen!$C263=C8,Begegnungen!$C$262=C8,Begegnungen!$C$263=C8,Begegnungen!$C$264=C8,Begegnungen!$C$265=C8,Begegnungen!$C$266=C8,Begegnungen!$C$267=C8),Begegnungen!$C$271,IF(OR(Begegnungen!$E$261=C8,Begegnungen!$E$262=C8,Begegnungen!$E$263=C8,Begegnungen!$E$264=C8,Begegnungen!$E$265=C8,Begegnungen!$E$266=C8,Begegnungen!$E$267=C8),Begegnungen!$E$271,""))</f>
        <v/>
      </c>
      <c r="AK8" s="66">
        <f>IF(OR(Begegnungen!$I263=C8,Begegnungen!$I$262=C8,Begegnungen!$I$263=C8,Begegnungen!$I$264=C8,Begegnungen!$I$265=C8,Begegnungen!$I$266=C8,Begegnungen!$I$267=C8),Begegnungen!$I$271,IF(OR(Begegnungen!$K$261=C8,Begegnungen!$K$262=C8,Begegnungen!$K$263=C8,Begegnungen!$K$264=C8,Begegnungen!$K$265=C8,Begegnungen!$K$266=C8,Begegnungen!$K$267=C8),Begegnungen!$K$271,""))</f>
        <v>1</v>
      </c>
      <c r="AL8" s="66">
        <f>IF(OR(Begegnungen!$C279=C8,Begegnungen!$C$278=C8,Begegnungen!$C$279=C8,Begegnungen!$C$280=C8,Begegnungen!$C$281=C8,Begegnungen!$C$282=C8,Begegnungen!$C$283=C8),Begegnungen!$C$287,IF(OR(Begegnungen!$E$277=C8,Begegnungen!$E$278=C8,Begegnungen!$E$279=C8,Begegnungen!$E$280=C8,Begegnungen!$E$281=C8,Begegnungen!$E$282=C8,Begegnungen!$E$283=C8),Begegnungen!$E$287,""))</f>
        <v>3</v>
      </c>
      <c r="AM8" s="136" t="str">
        <f>IF(OR(Begegnungen!$I279=C8,Begegnungen!$I$278=C8,Begegnungen!$I$279=C8,Begegnungen!$I$280=C8,Begegnungen!$I$281=C8,Begegnungen!$I$282=C8,Begegnungen!$I$283=C8),Begegnungen!$I$287,IF(OR(Begegnungen!$K$277=C8,Begegnungen!$K$278=C8,Begegnungen!$K$279=C8,Begegnungen!$K$280=C8,Begegnungen!$K$281=C8,Begegnungen!$K$282=C8,Begegnungen!$K$283=C8),Begegnungen!$K$287,""))</f>
        <v/>
      </c>
      <c r="AN8" s="66" t="str">
        <f>IF(OR(Begegnungen!$C295=C8,Begegnungen!$C$294=C8,Begegnungen!$C$295=C8,Begegnungen!$C$296=C8,Begegnungen!$C$297=C8,Begegnungen!$C$298=C8,Begegnungen!$C$299=C8),Begegnungen!$C$303,IF(OR(Begegnungen!$E$293=C8,Begegnungen!$E$294=C8,Begegnungen!$E$295=C8,Begegnungen!$E$296=C8,Begegnungen!$E$297=C8,Begegnungen!$E$298=C8,Begegnungen!$E$299=C8),Begegnungen!$E$303,""))</f>
        <v/>
      </c>
      <c r="AO8" s="136">
        <f>IF(OR(Begegnungen!$I295=C8,Begegnungen!$I$294=C8,Begegnungen!$I$295=C8,Begegnungen!$I$296=C8,Begegnungen!$I$297=C8,Begegnungen!$I$298=C8,Begegnungen!$I$299=C8),Begegnungen!$I$303,IF(OR(Begegnungen!$K$293=C8,Begegnungen!$K$294=C8,Begegnungen!$K$295=C8,Begegnungen!$K$296=C8,Begegnungen!$K$297=C8,Begegnungen!$K$298=C8,Begegnungen!$K$299=C8),Begegnungen!$K$303,""))</f>
        <v>0</v>
      </c>
      <c r="AP8" s="136">
        <f>IF(OR(Begegnungen!$C311=C8,Begegnungen!$C$310=C8,Begegnungen!$C$311=C8,Begegnungen!$C$312=C8,Begegnungen!$C$313=C8,Begegnungen!$C$314=C8,Begegnungen!$C$315=C8),Begegnungen!$C$319,IF(OR(Begegnungen!$E$309=C8,Begegnungen!$E$310=C8,Begegnungen!$E$311=C8,Begegnungen!$E$312=C8,Begegnungen!$E$313=C8,Begegnungen!$E$314=C8,Begegnungen!$E$315=C8),Begegnungen!$E$319,""))</f>
        <v>2</v>
      </c>
      <c r="AQ8" s="66">
        <f>IF(OR(Begegnungen!$I311=C8,Begegnungen!$I$310=C8,Begegnungen!$I$311=C8,Begegnungen!$I$312=C8,Begegnungen!$I$313=C8,Begegnungen!$I$314=C8,Begegnungen!$I$315=C8),Begegnungen!$I$319,IF(OR(Begegnungen!$K$309=C8,Begegnungen!$K$310=C8,Begegnungen!$K$311=C8,Begegnungen!$K$312=C8,Begegnungen!$K$313=C8,Begegnungen!$K$314=C8,Begegnungen!$K$315=C8),Begegnungen!$K$319,""))</f>
        <v>1</v>
      </c>
      <c r="AR8" s="25">
        <f t="shared" si="0"/>
        <v>83</v>
      </c>
      <c r="AS8" s="139">
        <f>Spiele!AS24</f>
        <v>31</v>
      </c>
      <c r="AT8" s="140">
        <f t="shared" si="1"/>
        <v>2.6774193548387095</v>
      </c>
    </row>
    <row r="9" spans="2:46" x14ac:dyDescent="0.25">
      <c r="B9" s="4">
        <v>4</v>
      </c>
      <c r="C9" s="146" t="s">
        <v>14</v>
      </c>
      <c r="D9" s="148">
        <f>IF(OR(Begegnungen!$C$3=C9,Begegnungen!$C$4=C9,Begegnungen!$C$5=C9,Begegnungen!$C$6=C9,Begegnungen!$C$7=C9,Begegnungen!$C$8=C9,Begegnungen!$C$9=C9),Begegnungen!$C$13,IF(OR(Begegnungen!$E$3=C9,Begegnungen!$E$4=C9,Begegnungen!$E$5=C9,Begegnungen!$E$6=C9,Begegnungen!$E$7=C9,Begegnungen!$E$8=C9,Begegnungen!$E$9=C9),Begegnungen!$E$13,""))</f>
        <v>2</v>
      </c>
      <c r="E9" s="66" t="str">
        <f>IF(OR(Begegnungen!$I$3=C9,Begegnungen!$I$4=C9,Begegnungen!$I$5=C9,Begegnungen!$I$6=C9,Begegnungen!$I$7=C9,Begegnungen!$I$8=C9,Begegnungen!$I$9=C9),Begegnungen!$I$13,IF(OR(Begegnungen!$K$3=C9,Begegnungen!$K$4=C9,Begegnungen!$K$5=C9,Begegnungen!$K$6=C9,Begegnungen!$K$7=C9,Begegnungen!$K$8=C9,Begegnungen!$K$9=C9),Begegnungen!$K$13,""))</f>
        <v/>
      </c>
      <c r="F9" s="66" t="str">
        <f>IF(OR(Begegnungen!$C$19=C9,Begegnungen!$C$20=C9,Begegnungen!$C$21=C9,Begegnungen!$C$22=C9,Begegnungen!$C$23=C9,Begegnungen!$C$24=C9,Begegnungen!$C$25=C9),Begegnungen!$C$29,IF(OR(Begegnungen!$E$19=C9,Begegnungen!$E$20=C9,Begegnungen!$E$21=C9,Begegnungen!$E$22=C9,Begegnungen!$E$23=C9,Begegnungen!$E$24=C9,Begegnungen!$E$25=C9),Begegnungen!$E$29,""))</f>
        <v/>
      </c>
      <c r="G9" s="66" t="str">
        <f>IF(OR(Begegnungen!$I$19=C9,Begegnungen!$I$20=C9,Begegnungen!$I$21=C9,Begegnungen!$I$22=C9,Begegnungen!$I$23=C9,Begegnungen!$I$24=C9,Begegnungen!$I$25=C9),Begegnungen!$I$29,IF(OR(Begegnungen!$K$19=C9,Begegnungen!$K$20=C9,Begegnungen!$K$21=C9,Begegnungen!$K$22=C9,Begegnungen!$K$23=C9,Begegnungen!$K$24=C9,Begegnungen!$K$25=C9),Begegnungen!$K$29,""))</f>
        <v/>
      </c>
      <c r="H9" s="66" t="str">
        <f>IF(OR(Begegnungen!$C$35=C9,Begegnungen!$C$36=C9,Begegnungen!$C$37=C9,Begegnungen!$C$38=C9,Begegnungen!$C$39=C9,Begegnungen!$C$40=C9,Begegnungen!$C$41=C9),Begegnungen!$C$46,IF(OR(Begegnungen!$E$35=C9,Begegnungen!$E$36=C9,Begegnungen!$E$37=C9,Begegnungen!$E$38=C9,Begegnungen!$E$39=C9,Begegnungen!$E$40=C9,Begegnungen!$E$41=C9),Begegnungen!$E$46,""))</f>
        <v/>
      </c>
      <c r="I9" s="66" t="str">
        <f>IF(OR(Begegnungen!$I$35=C9,Begegnungen!$I$36=C9,Begegnungen!$I$37=C9,Begegnungen!$I$38=C9,Begegnungen!$I$39=C9,Begegnungen!$I$40=C9,Begegnungen!$I$41=C9),Begegnungen!$I$46,IF(OR(Begegnungen!$K$35=C9,Begegnungen!$K$36=C9,Begegnungen!$K$37=C9,Begegnungen!$K$38=C9,Begegnungen!$K$39=C9,Begegnungen!$K$40=C9,Begegnungen!$K$41=C9),Begegnungen!$K$46,""))</f>
        <v/>
      </c>
      <c r="J9" s="136" t="str">
        <f>IF(OR(Begegnungen!$C$52=C9,Begegnungen!$C$53=C9,Begegnungen!$C$54=C9,Begegnungen!$C$55=C9,Begegnungen!$C$56=C9,Begegnungen!$C$57=C9,Begegnungen!$C$58=C9),Begegnungen!$C$62,IF(OR(Begegnungen!$E$52=C9,Begegnungen!$E$53=C9,Begegnungen!$E$54=C9,Begegnungen!$E$55=C9,Begegnungen!$E$56=C9,Begegnungen!$E$57=C9,Begegnungen!$E$58=C9),Begegnungen!$E$62,""))</f>
        <v/>
      </c>
      <c r="K9" s="66" t="str">
        <f>IF(OR(Begegnungen!$I$52=C9,Begegnungen!$I$53=C9,Begegnungen!$I$54=C9,Begegnungen!$I$55=C9,Begegnungen!$I$56=C9,Begegnungen!$I$57=C9,Begegnungen!$I$58=C9),Begegnungen!$I$62,IF(OR(Begegnungen!$K$52=C9,Begegnungen!$K$53=C9,Begegnungen!$K$54=C9,Begegnungen!$K$55=C9,Begegnungen!$K$56=C9,Begegnungen!$K$57=C9,Begegnungen!$K$58=C9),Begegnungen!$K$62,""))</f>
        <v/>
      </c>
      <c r="L9" s="136" t="str">
        <f>IF(OR(Begegnungen!$C71=C9,Begegnungen!$C$69=C9,Begegnungen!$C$70=C9,Begegnungen!$C$71=C9,Begegnungen!$C$72=C9,Begegnungen!$C$73=C9,Begegnungen!$C$74=C9),Begegnungen!$C$78,IF(OR(Begegnungen!$E$68=C9,Begegnungen!$E$69=C9,Begegnungen!$E$70=C9,Begegnungen!$E$71=C9,Begegnungen!$E$72=C9,Begegnungen!$E$73=C9,Begegnungen!$E$74=C9),Begegnungen!$E$78,""))</f>
        <v/>
      </c>
      <c r="M9" s="66" t="str">
        <f>IF(OR(Begegnungen!$I71=C9,Begegnungen!$I$69=C9,Begegnungen!$I$70=C9,Begegnungen!$I$71=C9,Begegnungen!$I$72=C9,Begegnungen!$I$73=C9,Begegnungen!$I$74=C9),Begegnungen!$I$78,IF(OR(Begegnungen!$K$68=C9,Begegnungen!$K$69=C9,Begegnungen!$K$70=C9,Begegnungen!$K$71=C9,Begegnungen!$K$72=C9,Begegnungen!$K$73=C9,Begegnungen!$K$74=C9),Begegnungen!$K$78,""))</f>
        <v/>
      </c>
      <c r="N9" s="66" t="str">
        <f>IF(OR(Begegnungen!$C87=C9,Begegnungen!$C$85=C9,Begegnungen!$C$86=C9,Begegnungen!$C$87=C9,Begegnungen!$C$88=C9,Begegnungen!$C$89=C9,Begegnungen!$C$90=C9),Begegnungen!$C$95,IF(OR(Begegnungen!$E$84=C9,Begegnungen!$E$85=C9,Begegnungen!$E$86=C9,Begegnungen!$E$87=C9,Begegnungen!$E$88=C9,Begegnungen!$E$89=C9,Begegnungen!$E$90=C9),Begegnungen!$E$95,""))</f>
        <v/>
      </c>
      <c r="O9" s="66">
        <f>IF(OR(Begegnungen!$I87=C9,Begegnungen!$I$85=C9,Begegnungen!$I$86=C9,Begegnungen!$I$87=C9,Begegnungen!$I$88=C9,Begegnungen!$I$89=C9,Begegnungen!$I$90=C9),Begegnungen!$I$95,IF(OR(Begegnungen!$K$84=C9,Begegnungen!$K$85=C9,Begegnungen!$K$86=C9,Begegnungen!$K$87=C9,Begegnungen!$K$88=C9,Begegnungen!$K$89=C9,Begegnungen!$K$90=C9),Begegnungen!$K$95,""))</f>
        <v>1</v>
      </c>
      <c r="P9" s="66" t="str">
        <f>IF(OR(Begegnungen!$C104=C9,Begegnungen!$C$102=C9,Begegnungen!$C$103=C9,Begegnungen!$C$104=C9,Begegnungen!$C$105=C9,Begegnungen!$C$106=C9,Begegnungen!$C$107=C9),Begegnungen!$C$111,IF(OR(Begegnungen!$E$101=C9,Begegnungen!$E$102=C9,Begegnungen!$E$103=C9,Begegnungen!$E$104=C9,Begegnungen!$E$105=C9,Begegnungen!$E$106=C9,Begegnungen!$E$107=C9),Begegnungen!$E$111,""))</f>
        <v/>
      </c>
      <c r="Q9" s="66" t="str">
        <f>IF(OR(Begegnungen!$I104=C9,Begegnungen!$I$102=C9,Begegnungen!$I$103=C9,Begegnungen!$I$104=C9,Begegnungen!$I$105=C9,Begegnungen!$I$106=C9,Begegnungen!$I$107=C9),Begegnungen!$I$111,IF(OR(Begegnungen!$K$101=C9,Begegnungen!$K$102=C9,Begegnungen!$K$103=C9,Begegnungen!$K$104=C9,Begegnungen!$K$105=C9,Begegnungen!$K$106=C9,Begegnungen!$K$107=C9),Begegnungen!$K$111,""))</f>
        <v/>
      </c>
      <c r="R9" s="136">
        <f>IF(OR(Begegnungen!$C120=C9,Begegnungen!$C$118=C9,Begegnungen!$C$119=C9,Begegnungen!$C$120=C9,Begegnungen!$C$121=C9,Begegnungen!$C$122=C9,Begegnungen!$C$123=C9),Begegnungen!$C$127,IF(OR(Begegnungen!$E$117=C9,Begegnungen!$E$118=C9,Begegnungen!$E$119=C9,Begegnungen!$E$120=C9,Begegnungen!$E$121=C9,Begegnungen!$E$122=C9,Begegnungen!$E$123=C9),Begegnungen!$E$127,""))</f>
        <v>1</v>
      </c>
      <c r="S9" s="66">
        <f>IF(OR(Begegnungen!$I$117=C9,Begegnungen!$I$118=C9,Begegnungen!$I$119=C9,Begegnungen!$I$120=C9,Begegnungen!$I$121=C9,Begegnungen!$I$122=C9,Begegnungen!$I$123=C9),Begegnungen!$I$127,IF(OR(Begegnungen!$K$117=C9,Begegnungen!$K$118=C9,Begegnungen!$K$119=C9,Begegnungen!$K$120=C9,Begegnungen!$K$121=C9,Begegnungen!$K$122=C9,Begegnungen!$K$123=C9),Begegnungen!$K$127,""))</f>
        <v>4</v>
      </c>
      <c r="T9" s="66">
        <f>IF(OR(Begegnungen!$C136=C9,Begegnungen!$C$134=C9,Begegnungen!$C$135=C9,Begegnungen!$C$136=C9,Begegnungen!$C$137=C9,Begegnungen!$C$138=C9,Begegnungen!$C$139=C9),Begegnungen!$C$143,IF(OR(Begegnungen!$E$133=C9,Begegnungen!$E$134=C9,Begegnungen!$E$135=C9,Begegnungen!$E$136=C9,Begegnungen!$E$137=C9,Begegnungen!$E$138=C9,Begegnungen!$E$139=C9),Begegnungen!$E$143,""))</f>
        <v>6</v>
      </c>
      <c r="U9" s="66" t="str">
        <f>IF(OR(Begegnungen!$I136=C9,Begegnungen!$I$134=C9,Begegnungen!$I$135=C9,Begegnungen!$I$136=C9,Begegnungen!$I$137=C9,Begegnungen!$I$138=C9,Begegnungen!$I$139=C9),Begegnungen!$I$143,IF(OR(Begegnungen!$K$133=C9,Begegnungen!$K$134=C9,Begegnungen!$K$135=C9,Begegnungen!$K$136=C9,Begegnungen!$K$137=C9,Begegnungen!$K$138=C9,Begegnungen!$K$139=C9),Begegnungen!$K$143,""))</f>
        <v/>
      </c>
      <c r="V9" s="66">
        <f>IF(OR(Begegnungen!$C152=C9,Begegnungen!$C$150=C9,Begegnungen!$C$151=C9,Begegnungen!$C$152=C9,Begegnungen!$C$153=C9,Begegnungen!$C$154=C9,Begegnungen!$C$155=C9),Begegnungen!$C$159,IF(OR(Begegnungen!$E$149=C9,Begegnungen!$E$150=C9,Begegnungen!$E$151=C9,Begegnungen!$E$152=C9,Begegnungen!$E$153=C9,Begegnungen!$E$154=C9,Begegnungen!$E$155=C9),Begegnungen!$E$159,""))</f>
        <v>0</v>
      </c>
      <c r="W9" s="66" t="str">
        <f>IF(OR(Begegnungen!$I152=C9,Begegnungen!$I$150=C9,Begegnungen!$I$151=C9,Begegnungen!$I$152=C9,Begegnungen!$I$153=C9,Begegnungen!$I$154=C9,Begegnungen!$I$155=C9),Begegnungen!$I$159,IF(OR(Begegnungen!$K$149=C9,Begegnungen!$K$150=C9,Begegnungen!$K$151=C9,Begegnungen!$K$152=C9,Begegnungen!$K$153=C9,Begegnungen!$K$154=C9,Begegnungen!$K$155=C9),Begegnungen!$K$159,""))</f>
        <v/>
      </c>
      <c r="X9" s="66" t="str">
        <f>IF(OR(Begegnungen!$C168=C9,Begegnungen!$C$166=C9,Begegnungen!$C$167=C9,Begegnungen!$C$168=C9,Begegnungen!$C$169=C9,Begegnungen!$C$170=C9,Begegnungen!$C$171=C9),Begegnungen!$C$175,IF(OR(Begegnungen!$E$165=C9,Begegnungen!$E$166=C9,Begegnungen!$E$167=C9,Begegnungen!$E$168=C9,Begegnungen!$E$169=C9,Begegnungen!$E$170=C9,Begegnungen!$E$171=C9),Begegnungen!$E$175,""))</f>
        <v/>
      </c>
      <c r="Y9" s="66">
        <f>IF(OR(Begegnungen!$I168=C9,Begegnungen!$I$166=C9,Begegnungen!$I$167=C9,Begegnungen!$I$168=C9,Begegnungen!$I$169=C9,Begegnungen!$I$170=C9,Begegnungen!$I$171=C9),Begegnungen!$I$175,IF(OR(Begegnungen!$K$165=C9,Begegnungen!$K$166=C9,Begegnungen!$K$167=C9,Begegnungen!$K$168=C9,Begegnungen!$K$169=C9,Begegnungen!$K$170=C9,Begegnungen!$K$171=C9),Begegnungen!$K$175,""))</f>
        <v>0</v>
      </c>
      <c r="Z9" s="66">
        <f>IF(OR(Begegnungen!$C184=C9,Begegnungen!$C$182=C9,Begegnungen!$C$183=C9,Begegnungen!$C$184=C9,Begegnungen!$C$185=C9,Begegnungen!$C$186=C9,Begegnungen!$C$187=C9),Begegnungen!$C$191,IF(OR(Begegnungen!$E$181=C9,Begegnungen!$E$182=C9,Begegnungen!$E$183=C9,Begegnungen!$E$184=C9,Begegnungen!$E$185=C9,Begegnungen!$E$186=C9,Begegnungen!$E$187=C9),Begegnungen!$E$191,""))</f>
        <v>3</v>
      </c>
      <c r="AA9" s="66" t="str">
        <f>IF(OR(Begegnungen!$I184=C9,Begegnungen!$I$182=C9,Begegnungen!$I$183=C9,Begegnungen!$I$184=C9,Begegnungen!$I$185=C9,Begegnungen!$I$186=C9,Begegnungen!$I$187=C9),Begegnungen!$I$191,IF(OR(Begegnungen!$K$181=C9,Begegnungen!$K$182=C9,Begegnungen!$K$183=C9,Begegnungen!$K$184=C9,Begegnungen!$K$185=C9,Begegnungen!$K$186=C9,Begegnungen!$K$187=C9),Begegnungen!$K$191,""))</f>
        <v/>
      </c>
      <c r="AB9" s="66">
        <f>IF(OR(Begegnungen!$C200=C9,Begegnungen!$C$198=C9,Begegnungen!$C$199=C9,Begegnungen!$C$200=C9,Begegnungen!$C$201=C9,Begegnungen!$C$202=C9,Begegnungen!$C$203=C9),Begegnungen!$C$207,IF(OR(Begegnungen!$E$197=C9,Begegnungen!$E$198=C9,Begegnungen!$E$199=C9,Begegnungen!$E$200=C9,Begegnungen!$E$201=C9,Begegnungen!$E$202=C9,Begegnungen!$E$203=C9),Begegnungen!$E$207,""))</f>
        <v>3</v>
      </c>
      <c r="AC9" s="66">
        <f>IF(OR(Begegnungen!$I200=C9,Begegnungen!$I$198=C9,Begegnungen!$I$199=C9,Begegnungen!$I$200=C9,Begegnungen!$I$201=C9,Begegnungen!$I$202=C9,Begegnungen!$I$203=C9),Begegnungen!$I$207,IF(OR(Begegnungen!$K$197=C9,Begegnungen!$K$198=C9,Begegnungen!$K$199=C9,Begegnungen!$K$200=C9,Begegnungen!$K$201=C9,Begegnungen!$K$202=C9,Begegnungen!$K$203=C9),Begegnungen!$K$207,""))</f>
        <v>2</v>
      </c>
      <c r="AD9" s="66">
        <f>IF(OR(Begegnungen!$C216=C9,Begegnungen!$C$214=C9,Begegnungen!$C$215=C9,Begegnungen!$C$216=C9,Begegnungen!$C$217=C9,Begegnungen!$C$218=C9,Begegnungen!$C$219=C9),Begegnungen!$C$223,IF(OR(Begegnungen!$E$213=C9,Begegnungen!$E$214=C9,Begegnungen!$E$215=C9,Begegnungen!$E$216=C9,Begegnungen!$E$217=C9,Begegnungen!$E$218=C9,Begegnungen!$E$219=C9),Begegnungen!$E$223,""))</f>
        <v>5</v>
      </c>
      <c r="AE9" s="66">
        <f>IF(OR(Begegnungen!$I216=C9,Begegnungen!$I$214=C9,Begegnungen!$I$215=C9,Begegnungen!$I$216=C9,Begegnungen!$I$217=C9,Begegnungen!$I$218=C9,Begegnungen!$I$219=C9),Begegnungen!$I$223,IF(OR(Begegnungen!$K$213=C9,Begegnungen!$K$214=C9,Begegnungen!$K$215=C9,Begegnungen!$K$216=C9,Begegnungen!$K$217=C9,Begegnungen!$K$218=C9,Begegnungen!$K$219=C9),Begegnungen!$K$223,""))</f>
        <v>5</v>
      </c>
      <c r="AF9" s="136" t="str">
        <f>IF(OR(Begegnungen!$C232=C9,Begegnungen!$C$230=C9,Begegnungen!$C$231=C9,Begegnungen!$C$232=C9,Begegnungen!$C$233=C9,Begegnungen!$C$234=C9,Begegnungen!$C$235=C9),Begegnungen!$C$239,IF(OR(Begegnungen!$E$229=C9,Begegnungen!$E$230=C9,Begegnungen!$E$231=C9,Begegnungen!$E$232=C9,Begegnungen!$E$233=C9,Begegnungen!$E$234=C9,Begegnungen!$E$235=C9),Begegnungen!$E$239,""))</f>
        <v/>
      </c>
      <c r="AG9" s="66">
        <f>IF(OR(Begegnungen!$I232=C9,Begegnungen!$I$230=C9,Begegnungen!$I$231=C9,Begegnungen!$I$232=C9,Begegnungen!$I$233=C9,Begegnungen!$I$234=C9,Begegnungen!$I$235=C9),Begegnungen!$I$239,IF(OR(Begegnungen!$K$229=C9,Begegnungen!$K$230=C9,Begegnungen!$K$231=C9,Begegnungen!$K$232=C9,Begegnungen!$K$233=C9,Begegnungen!$K$234=C9,Begegnungen!$K$235=C9),Begegnungen!$K$239,""))</f>
        <v>1</v>
      </c>
      <c r="AH9" s="66">
        <f>IF(OR(Begegnungen!$C248=C9,Begegnungen!$C$246=C9,Begegnungen!$C$247=C9,Begegnungen!$C$248=C9,Begegnungen!$C$249=C9,Begegnungen!$C$250=C9,Begegnungen!$C$251=C9),Begegnungen!$C$255,IF(OR(Begegnungen!$E$245=C9,Begegnungen!$E$246=C9,Begegnungen!$E$247=C9,Begegnungen!$E$248=C9,Begegnungen!$E$249=C9,Begegnungen!$E$250=C9,Begegnungen!$E$251=C9),Begegnungen!$E$255,""))</f>
        <v>4</v>
      </c>
      <c r="AI9" s="66" t="str">
        <f>IF(OR(Begegnungen!$I248=C9,Begegnungen!$I$246=C9,Begegnungen!$I$247=C9,Begegnungen!$I$248=C9,Begegnungen!$I$249=C9,Begegnungen!$I$250=C9,Begegnungen!$I$251=C9),Begegnungen!$I$255,IF(OR(Begegnungen!$K$245=C9,Begegnungen!$K$246=C9,Begegnungen!$K$247=C9,Begegnungen!$K$248=C9,Begegnungen!$K$249=C9,Begegnungen!$K$250=C9,Begegnungen!$K$251=C9),Begegnungen!$K$255,""))</f>
        <v/>
      </c>
      <c r="AJ9" s="66">
        <f>IF(OR(Begegnungen!$C264=C9,Begegnungen!$C$262=C9,Begegnungen!$C$263=C9,Begegnungen!$C$264=C9,Begegnungen!$C$265=C9,Begegnungen!$C$266=C9,Begegnungen!$C$267=C9),Begegnungen!$C$271,IF(OR(Begegnungen!$E$261=C9,Begegnungen!$E$262=C9,Begegnungen!$E$263=C9,Begegnungen!$E$264=C9,Begegnungen!$E$265=C9,Begegnungen!$E$266=C9,Begegnungen!$E$267=C9),Begegnungen!$E$271,""))</f>
        <v>3</v>
      </c>
      <c r="AK9" s="66" t="str">
        <f>IF(OR(Begegnungen!$I264=C9,Begegnungen!$I$262=C9,Begegnungen!$I$263=C9,Begegnungen!$I$264=C9,Begegnungen!$I$265=C9,Begegnungen!$I$266=C9,Begegnungen!$I$267=C9),Begegnungen!$I$271,IF(OR(Begegnungen!$K$261=C9,Begegnungen!$K$262=C9,Begegnungen!$K$263=C9,Begegnungen!$K$264=C9,Begegnungen!$K$265=C9,Begegnungen!$K$266=C9,Begegnungen!$K$267=C9),Begegnungen!$K$271,""))</f>
        <v/>
      </c>
      <c r="AL9" s="66">
        <f>IF(OR(Begegnungen!$C280=C9,Begegnungen!$C$278=C9,Begegnungen!$C$279=C9,Begegnungen!$C$280=C9,Begegnungen!$C$281=C9,Begegnungen!$C$282=C9,Begegnungen!$C$283=C9),Begegnungen!$C$287,IF(OR(Begegnungen!$E$277=C9,Begegnungen!$E$278=C9,Begegnungen!$E$279=C9,Begegnungen!$E$280=C9,Begegnungen!$E$281=C9,Begegnungen!$E$282=C9,Begegnungen!$E$283=C9),Begegnungen!$E$287,""))</f>
        <v>5</v>
      </c>
      <c r="AM9" s="136">
        <f>IF(OR(Begegnungen!$I280=C9,Begegnungen!$I$278=C9,Begegnungen!$I$279=C9,Begegnungen!$I$280=C9,Begegnungen!$I$281=C9,Begegnungen!$I$282=C9,Begegnungen!$I$283=C9),Begegnungen!$I$287,IF(OR(Begegnungen!$K$277=C9,Begegnungen!$K$278=C9,Begegnungen!$K$279=C9,Begegnungen!$K$280=C9,Begegnungen!$K$281=C9,Begegnungen!$K$282=C9,Begegnungen!$K$283=C9),Begegnungen!$K$287,""))</f>
        <v>3</v>
      </c>
      <c r="AN9" s="66">
        <f>IF(OR(Begegnungen!$C296=C9,Begegnungen!$C$294=C9,Begegnungen!$C$295=C9,Begegnungen!$C$296=C9,Begegnungen!$C$297=C9,Begegnungen!$C$298=C9,Begegnungen!$C$299=C9),Begegnungen!$C$303,IF(OR(Begegnungen!$E$293=C9,Begegnungen!$E$294=C9,Begegnungen!$E$295=C9,Begegnungen!$E$296=C9,Begegnungen!$E$297=C9,Begegnungen!$E$298=C9,Begegnungen!$E$299=C9),Begegnungen!$E$303,""))</f>
        <v>3</v>
      </c>
      <c r="AO9" s="136">
        <f>IF(OR(Begegnungen!$I296=C9,Begegnungen!$I$294=C9,Begegnungen!$I$295=C9,Begegnungen!$I$296=C9,Begegnungen!$I$297=C9,Begegnungen!$I$298=C9,Begegnungen!$I$299=C9),Begegnungen!$I$303,IF(OR(Begegnungen!$K$293=C9,Begegnungen!$K$294=C9,Begegnungen!$K$295=C9,Begegnungen!$K$296=C9,Begegnungen!$K$297=C9,Begegnungen!$K$298=C9,Begegnungen!$K$299=C9),Begegnungen!$K$303,""))</f>
        <v>3</v>
      </c>
      <c r="AP9" s="136">
        <f>IF(OR(Begegnungen!$C312=C9,Begegnungen!$C$310=C9,Begegnungen!$C$311=C9,Begegnungen!$C$312=C9,Begegnungen!$C$313=C9,Begegnungen!$C$314=C9,Begegnungen!$C$315=C9),Begegnungen!$C$319,IF(OR(Begegnungen!$E$309=C9,Begegnungen!$E$310=C9,Begegnungen!$E$311=C9,Begegnungen!$E$312=C9,Begegnungen!$E$313=C9,Begegnungen!$E$314=C9,Begegnungen!$E$315=C9),Begegnungen!$E$319,""))</f>
        <v>2</v>
      </c>
      <c r="AQ9" s="66">
        <f>IF(OR(Begegnungen!$I312=C9,Begegnungen!$I$310=C9,Begegnungen!$I$311=C9,Begegnungen!$I$312=C9,Begegnungen!$I$313=C9,Begegnungen!$I$314=C9,Begegnungen!$I$315=C9),Begegnungen!$I$319,IF(OR(Begegnungen!$K$309=C9,Begegnungen!$K$310=C9,Begegnungen!$K$311=C9,Begegnungen!$K$312=C9,Begegnungen!$K$313=C9,Begegnungen!$K$314=C9,Begegnungen!$K$315=C9),Begegnungen!$K$319,""))</f>
        <v>4</v>
      </c>
      <c r="AR9" s="25">
        <f t="shared" si="0"/>
        <v>60</v>
      </c>
      <c r="AS9" s="139">
        <f>Spiele!AS9</f>
        <v>21</v>
      </c>
      <c r="AT9" s="140">
        <f t="shared" si="1"/>
        <v>2.8571428571428572</v>
      </c>
    </row>
    <row r="10" spans="2:46" x14ac:dyDescent="0.25">
      <c r="B10" s="4">
        <v>5</v>
      </c>
      <c r="C10" s="146" t="s">
        <v>22</v>
      </c>
      <c r="D10" s="148">
        <f>IF(OR(Begegnungen!$C$3=C10,Begegnungen!$C$4=C10,Begegnungen!$C$5=C10,Begegnungen!$C$6=C10,Begegnungen!$C$7=C10,Begegnungen!$C$8=C10,Begegnungen!$C$9=C10),Begegnungen!$C$13,IF(OR(Begegnungen!$E$3=C10,Begegnungen!$E$4=C10,Begegnungen!$E$5=C10,Begegnungen!$E$6=C10,Begegnungen!$E$7=C10,Begegnungen!$E$8=C10,Begegnungen!$E$9=C10),Begegnungen!$E$13,""))</f>
        <v>2</v>
      </c>
      <c r="E10" s="66">
        <f>IF(OR(Begegnungen!$I$3=C10,Begegnungen!$I$4=C10,Begegnungen!$I$5=C10,Begegnungen!$I$6=C10,Begegnungen!$I$7=C10,Begegnungen!$I$8=C10,Begegnungen!$I$9=C10),Begegnungen!$I$13,IF(OR(Begegnungen!$K$3=C10,Begegnungen!$K$4=C10,Begegnungen!$K$5=C10,Begegnungen!$K$6=C10,Begegnungen!$K$7=C10,Begegnungen!$K$8=C10,Begegnungen!$K$9=C10),Begegnungen!$K$13,""))</f>
        <v>1</v>
      </c>
      <c r="F10" s="66" t="str">
        <f>IF(OR(Begegnungen!$C$19=C10,Begegnungen!$C$20=C10,Begegnungen!$C$21=C10,Begegnungen!$C$22=C10,Begegnungen!$C$23=C10,Begegnungen!$C$24=C10,Begegnungen!$C$25=C10),Begegnungen!$C$29,IF(OR(Begegnungen!$E$19=C10,Begegnungen!$E$20=C10,Begegnungen!$E$21=C10,Begegnungen!$E$22=C10,Begegnungen!$E$23=C10,Begegnungen!$E$24=C10,Begegnungen!$E$25=C10),Begegnungen!$E$29,""))</f>
        <v/>
      </c>
      <c r="G10" s="66">
        <f>IF(OR(Begegnungen!$I$19=C10,Begegnungen!$I$20=C10,Begegnungen!$I$21=C10,Begegnungen!$I$22=C10,Begegnungen!$I$23=C10,Begegnungen!$I$24=C10,Begegnungen!$I$25=C10),Begegnungen!$I$29,IF(OR(Begegnungen!$K$19=C10,Begegnungen!$K$20=C10,Begegnungen!$K$21=C10,Begegnungen!$K$22=C10,Begegnungen!$K$23=C10,Begegnungen!$K$24=C10,Begegnungen!$K$25=C10),Begegnungen!$K$29,""))</f>
        <v>3</v>
      </c>
      <c r="H10" s="66">
        <f>IF(OR(Begegnungen!$C$35=C10,Begegnungen!$C$36=C10,Begegnungen!$C$37=C10,Begegnungen!$C$38=C10,Begegnungen!$C$39=C10,Begegnungen!$C$40=C10,Begegnungen!$C$41=C10),Begegnungen!$C$46,IF(OR(Begegnungen!$E$35=C10,Begegnungen!$E$36=C10,Begegnungen!$E$37=C10,Begegnungen!$E$38=C10,Begegnungen!$E$39=C10,Begegnungen!$E$40=C10,Begegnungen!$E$41=C10),Begegnungen!$E$46,""))</f>
        <v>1</v>
      </c>
      <c r="I10" s="66">
        <f>IF(OR(Begegnungen!$I$35=C10,Begegnungen!$I$36=C10,Begegnungen!$I$37=C10,Begegnungen!$I$38=C10,Begegnungen!$I$39=C10,Begegnungen!$I$40=C10,Begegnungen!$I$41=C10),Begegnungen!$I$46,IF(OR(Begegnungen!$K$35=C10,Begegnungen!$K$36=C10,Begegnungen!$K$37=C10,Begegnungen!$K$38=C10,Begegnungen!$K$39=C10,Begegnungen!$K$40=C10,Begegnungen!$K$41=C10),Begegnungen!$K$46,""))</f>
        <v>3</v>
      </c>
      <c r="J10" s="136">
        <f>IF(OR(Begegnungen!$C$52=C10,Begegnungen!$C$53=C10,Begegnungen!$C$54=C10,Begegnungen!$C$55=C10,Begegnungen!$C$56=C10,Begegnungen!$C$57=C10,Begegnungen!$C$58=C10),Begegnungen!$C$62,IF(OR(Begegnungen!$E$52=C10,Begegnungen!$E$53=C10,Begegnungen!$E$54=C10,Begegnungen!$E$55=C10,Begegnungen!$E$56=C10,Begegnungen!$E$57=C10,Begegnungen!$E$58=C10),Begegnungen!$E$62,""))</f>
        <v>2</v>
      </c>
      <c r="K10" s="66">
        <f>IF(OR(Begegnungen!$I$52=C10,Begegnungen!$I$53=C10,Begegnungen!$I$54=C10,Begegnungen!$I$55=C10,Begegnungen!$I$56=C10,Begegnungen!$I$57=C10,Begegnungen!$I$58=C10),Begegnungen!$I$62,IF(OR(Begegnungen!$K$52=C10,Begegnungen!$K$53=C10,Begegnungen!$K$54=C10,Begegnungen!$K$55=C10,Begegnungen!$K$56=C10,Begegnungen!$K$57=C10,Begegnungen!$K$58=C10),Begegnungen!$K$62,""))</f>
        <v>4</v>
      </c>
      <c r="L10" s="136">
        <f>IF(OR(Begegnungen!$C72=C10,Begegnungen!$C$69=C10,Begegnungen!$C$70=C10,Begegnungen!$C$71=C10,Begegnungen!$C$72=C10,Begegnungen!$C$73=C10,Begegnungen!$C$74=C10),Begegnungen!$C$78,IF(OR(Begegnungen!$E$68=C10,Begegnungen!$E$69=C10,Begegnungen!$E$70=C10,Begegnungen!$E$71=C10,Begegnungen!$E$72=C10,Begegnungen!$E$73=C10,Begegnungen!$E$74=C10),Begegnungen!$E$78,""))</f>
        <v>3</v>
      </c>
      <c r="M10" s="66" t="str">
        <f>IF(OR(Begegnungen!$I72=C10,Begegnungen!$I$69=C10,Begegnungen!$I$70=C10,Begegnungen!$I$71=C10,Begegnungen!$I$72=C10,Begegnungen!$I$73=C10,Begegnungen!$I$74=C10),Begegnungen!$I$78,IF(OR(Begegnungen!$K$68=C10,Begegnungen!$K$69=C10,Begegnungen!$K$70=C10,Begegnungen!$K$71=C10,Begegnungen!$K$72=C10,Begegnungen!$K$73=C10,Begegnungen!$K$74=C10),Begegnungen!$K$78,""))</f>
        <v/>
      </c>
      <c r="N10" s="66">
        <f>IF(OR(Begegnungen!$C88=C10,Begegnungen!$C$85=C10,Begegnungen!$C$86=C10,Begegnungen!$C$87=C10,Begegnungen!$C$88=C10,Begegnungen!$C$89=C10,Begegnungen!$C$90=C10),Begegnungen!$C$95,IF(OR(Begegnungen!$E$84=C10,Begegnungen!$E$85=C10,Begegnungen!$E$86=C10,Begegnungen!$E$87=C10,Begegnungen!$E$88=C10,Begegnungen!$E$89=C10,Begegnungen!$E$90=C10),Begegnungen!$E$95,""))</f>
        <v>3</v>
      </c>
      <c r="O10" s="66">
        <f>IF(OR(Begegnungen!$I88=C10,Begegnungen!$I$85=C10,Begegnungen!$I$86=C10,Begegnungen!$I$87=C10,Begegnungen!$I$88=C10,Begegnungen!$I$89=C10,Begegnungen!$I$90=C10),Begegnungen!$I$95,IF(OR(Begegnungen!$K$84=C10,Begegnungen!$K$85=C10,Begegnungen!$K$86=C10,Begegnungen!$K$87=C10,Begegnungen!$K$88=C10,Begegnungen!$K$89=C10,Begegnungen!$K$90=C10),Begegnungen!$K$95,""))</f>
        <v>1</v>
      </c>
      <c r="P10" s="66">
        <f>IF(OR(Begegnungen!$C105=C10,Begegnungen!$C$102=C10,Begegnungen!$C$103=C10,Begegnungen!$C$104=C10,Begegnungen!$C$105=C10,Begegnungen!$C$106=C10,Begegnungen!$C$107=C10),Begegnungen!$C$111,IF(OR(Begegnungen!$E$101=C10,Begegnungen!$E$102=C10,Begegnungen!$E$103=C10,Begegnungen!$E$104=C10,Begegnungen!$E$105=C10,Begegnungen!$E$106=C10,Begegnungen!$E$107=C10),Begegnungen!$E$111,""))</f>
        <v>3</v>
      </c>
      <c r="Q10" s="66">
        <f>IF(OR(Begegnungen!$I105=C10,Begegnungen!$I$102=C10,Begegnungen!$I$103=C10,Begegnungen!$I$104=C10,Begegnungen!$I$105=C10,Begegnungen!$I$106=C10,Begegnungen!$I$107=C10),Begegnungen!$I$111,IF(OR(Begegnungen!$K$101=C10,Begegnungen!$K$102=C10,Begegnungen!$K$103=C10,Begegnungen!$K$104=C10,Begegnungen!$K$105=C10,Begegnungen!$K$106=C10,Begegnungen!$K$107=C10),Begegnungen!$K$111,""))</f>
        <v>3</v>
      </c>
      <c r="R10" s="136">
        <f>IF(OR(Begegnungen!$C121=C10,Begegnungen!$C$118=C10,Begegnungen!$C$119=C10,Begegnungen!$C$120=C10,Begegnungen!$C$121=C10,Begegnungen!$C$122=C10,Begegnungen!$C$123=C10),Begegnungen!$C$127,IF(OR(Begegnungen!$E$117=C10,Begegnungen!$E$118=C10,Begegnungen!$E$119=C10,Begegnungen!$E$120=C10,Begegnungen!$E$121=C10,Begegnungen!$E$122=C10,Begegnungen!$E$123=C10),Begegnungen!$E$127,""))</f>
        <v>4</v>
      </c>
      <c r="S10" s="66">
        <f>IF(OR(Begegnungen!$I$117=C10,Begegnungen!$I$118=C10,Begegnungen!$I$119=C10,Begegnungen!$I$120=C10,Begegnungen!$I$121=C10,Begegnungen!$I$122=C10,Begegnungen!$I$123=C10),Begegnungen!$I$127,IF(OR(Begegnungen!$K$117=C10,Begegnungen!$K$118=C10,Begegnungen!$K$119=C10,Begegnungen!$K$120=C10,Begegnungen!$K$121=C10,Begegnungen!$K$122=C10,Begegnungen!$K$123=C10),Begegnungen!$K$127,""))</f>
        <v>3</v>
      </c>
      <c r="T10" s="66">
        <f>IF(OR(Begegnungen!$C137=C10,Begegnungen!$C$134=C10,Begegnungen!$C$135=C10,Begegnungen!$C$136=C10,Begegnungen!$C$137=C10,Begegnungen!$C$138=C10,Begegnungen!$C$139=C10),Begegnungen!$C$143,IF(OR(Begegnungen!$E$133=C10,Begegnungen!$E$134=C10,Begegnungen!$E$135=C10,Begegnungen!$E$136=C10,Begegnungen!$E$137=C10,Begegnungen!$E$138=C10,Begegnungen!$E$139=C10),Begegnungen!$E$143,""))</f>
        <v>2</v>
      </c>
      <c r="U10" s="66">
        <f>IF(OR(Begegnungen!$I137=C10,Begegnungen!$I$134=C10,Begegnungen!$I$135=C10,Begegnungen!$I$136=C10,Begegnungen!$I$137=C10,Begegnungen!$I$138=C10,Begegnungen!$I$139=C10),Begegnungen!$I$143,IF(OR(Begegnungen!$K$133=C10,Begegnungen!$K$134=C10,Begegnungen!$K$135=C10,Begegnungen!$K$136=C10,Begegnungen!$K$137=C10,Begegnungen!$K$138=C10,Begegnungen!$K$139=C10),Begegnungen!$K$143,""))</f>
        <v>1</v>
      </c>
      <c r="V10" s="66">
        <f>IF(OR(Begegnungen!$C153=C10,Begegnungen!$C$150=C10,Begegnungen!$C$151=C10,Begegnungen!$C$152=C10,Begegnungen!$C$153=C10,Begegnungen!$C$154=C10,Begegnungen!$C$155=C10),Begegnungen!$C$159,IF(OR(Begegnungen!$E$149=C10,Begegnungen!$E$150=C10,Begegnungen!$E$151=C10,Begegnungen!$E$152=C10,Begegnungen!$E$153=C10,Begegnungen!$E$154=C10,Begegnungen!$E$155=C10),Begegnungen!$E$159,""))</f>
        <v>4</v>
      </c>
      <c r="W10" s="66">
        <f>IF(OR(Begegnungen!$I153=C10,Begegnungen!$I$150=C10,Begegnungen!$I$151=C10,Begegnungen!$I$152=C10,Begegnungen!$I$153=C10,Begegnungen!$I$154=C10,Begegnungen!$I$155=C10),Begegnungen!$I$159,IF(OR(Begegnungen!$K$149=C10,Begegnungen!$K$150=C10,Begegnungen!$K$151=C10,Begegnungen!$K$152=C10,Begegnungen!$K$153=C10,Begegnungen!$K$154=C10,Begegnungen!$K$155=C10),Begegnungen!$K$159,""))</f>
        <v>2</v>
      </c>
      <c r="X10" s="66">
        <f>IF(OR(Begegnungen!$C169=C10,Begegnungen!$C$166=C10,Begegnungen!$C$167=C10,Begegnungen!$C$168=C10,Begegnungen!$C$169=C10,Begegnungen!$C$170=C10,Begegnungen!$C$171=C10),Begegnungen!$C$175,IF(OR(Begegnungen!$E$165=C10,Begegnungen!$E$166=C10,Begegnungen!$E$167=C10,Begegnungen!$E$168=C10,Begegnungen!$E$169=C10,Begegnungen!$E$170=C10,Begegnungen!$E$171=C10),Begegnungen!$E$175,""))</f>
        <v>3</v>
      </c>
      <c r="Y10" s="66">
        <f>IF(OR(Begegnungen!$I169=C10,Begegnungen!$I$166=C10,Begegnungen!$I$167=C10,Begegnungen!$I$168=C10,Begegnungen!$I$169=C10,Begegnungen!$I$170=C10,Begegnungen!$I$171=C10),Begegnungen!$I$175,IF(OR(Begegnungen!$K$165=C10,Begegnungen!$K$166=C10,Begegnungen!$K$167=C10,Begegnungen!$K$168=C10,Begegnungen!$K$169=C10,Begegnungen!$K$170=C10,Begegnungen!$K$171=C10),Begegnungen!$K$175,""))</f>
        <v>4</v>
      </c>
      <c r="Z10" s="66">
        <f>IF(OR(Begegnungen!$C185=C10,Begegnungen!$C$182=C10,Begegnungen!$C$183=C10,Begegnungen!$C$184=C10,Begegnungen!$C$185=C10,Begegnungen!$C$186=C10,Begegnungen!$C$187=C10),Begegnungen!$C$191,IF(OR(Begegnungen!$E$181=C10,Begegnungen!$E$182=C10,Begegnungen!$E$183=C10,Begegnungen!$E$184=C10,Begegnungen!$E$185=C10,Begegnungen!$E$186=C10,Begegnungen!$E$187=C10),Begegnungen!$E$191,""))</f>
        <v>3</v>
      </c>
      <c r="AA10" s="66">
        <f>IF(OR(Begegnungen!$I185=C10,Begegnungen!$I$182=C10,Begegnungen!$I$183=C10,Begegnungen!$I$184=C10,Begegnungen!$I$185=C10,Begegnungen!$I$186=C10,Begegnungen!$I$187=C10),Begegnungen!$I$191,IF(OR(Begegnungen!$K$181=C10,Begegnungen!$K$182=C10,Begegnungen!$K$183=C10,Begegnungen!$K$184=C10,Begegnungen!$K$185=C10,Begegnungen!$K$186=C10,Begegnungen!$K$187=C10),Begegnungen!$K$191,""))</f>
        <v>8</v>
      </c>
      <c r="AB10" s="66">
        <f>IF(OR(Begegnungen!$C201=C10,Begegnungen!$C$198=C10,Begegnungen!$C$199=C10,Begegnungen!$C$200=C10,Begegnungen!$C$201=C10,Begegnungen!$C$202=C10,Begegnungen!$C$203=C10),Begegnungen!$C$207,IF(OR(Begegnungen!$E$197=C10,Begegnungen!$E$198=C10,Begegnungen!$E$199=C10,Begegnungen!$E$200=C10,Begegnungen!$E$201=C10,Begegnungen!$E$202=C10,Begegnungen!$E$203=C10),Begegnungen!$E$207,""))</f>
        <v>3</v>
      </c>
      <c r="AC10" s="66">
        <f>IF(OR(Begegnungen!$I201=C10,Begegnungen!$I$198=C10,Begegnungen!$I$199=C10,Begegnungen!$I$200=C10,Begegnungen!$I$201=C10,Begegnungen!$I$202=C10,Begegnungen!$I$203=C10),Begegnungen!$I$207,IF(OR(Begegnungen!$K$197=C10,Begegnungen!$K$198=C10,Begegnungen!$K$199=C10,Begegnungen!$K$200=C10,Begegnungen!$K$201=C10,Begegnungen!$K$202=C10,Begegnungen!$K$203=C10),Begegnungen!$K$207,""))</f>
        <v>2</v>
      </c>
      <c r="AD10" s="66" t="str">
        <f>IF(OR(Begegnungen!$C217=C10,Begegnungen!$C$214=C10,Begegnungen!$C$215=C10,Begegnungen!$C$216=C10,Begegnungen!$C$217=C10,Begegnungen!$C$218=C10,Begegnungen!$C$219=C10),Begegnungen!$C$223,IF(OR(Begegnungen!$E$213=C10,Begegnungen!$E$214=C10,Begegnungen!$E$215=C10,Begegnungen!$E$216=C10,Begegnungen!$E$217=C10,Begegnungen!$E$218=C10,Begegnungen!$E$219=C10),Begegnungen!$E$223,""))</f>
        <v/>
      </c>
      <c r="AE10" s="66">
        <f>IF(OR(Begegnungen!$I217=C10,Begegnungen!$I$214=C10,Begegnungen!$I$215=C10,Begegnungen!$I$216=C10,Begegnungen!$I$217=C10,Begegnungen!$I$218=C10,Begegnungen!$I$219=C10),Begegnungen!$I$223,IF(OR(Begegnungen!$K$213=C10,Begegnungen!$K$214=C10,Begegnungen!$K$215=C10,Begegnungen!$K$216=C10,Begegnungen!$K$217=C10,Begegnungen!$K$218=C10,Begegnungen!$K$219=C10),Begegnungen!$K$223,""))</f>
        <v>5</v>
      </c>
      <c r="AF10" s="136">
        <f>IF(OR(Begegnungen!$C233=C10,Begegnungen!$C$230=C10,Begegnungen!$C$231=C10,Begegnungen!$C$232=C10,Begegnungen!$C$233=C10,Begegnungen!$C$234=C10,Begegnungen!$C$235=C10),Begegnungen!$C$239,IF(OR(Begegnungen!$E$229=C10,Begegnungen!$E$230=C10,Begegnungen!$E$231=C10,Begegnungen!$E$232=C10,Begegnungen!$E$233=C10,Begegnungen!$E$234=C10,Begegnungen!$E$235=C10),Begegnungen!$E$239,""))</f>
        <v>0</v>
      </c>
      <c r="AG10" s="66">
        <f>IF(OR(Begegnungen!$I233=C10,Begegnungen!$I$230=C10,Begegnungen!$I$231=C10,Begegnungen!$I$232=C10,Begegnungen!$I$233=C10,Begegnungen!$I$234=C10,Begegnungen!$I$235=C10),Begegnungen!$I$239,IF(OR(Begegnungen!$K$229=C10,Begegnungen!$K$230=C10,Begegnungen!$K$231=C10,Begegnungen!$K$232=C10,Begegnungen!$K$233=C10,Begegnungen!$K$234=C10,Begegnungen!$K$235=C10),Begegnungen!$K$239,""))</f>
        <v>5</v>
      </c>
      <c r="AH10" s="66">
        <f>IF(OR(Begegnungen!$C249=C10,Begegnungen!$C$246=C10,Begegnungen!$C$247=C10,Begegnungen!$C$248=C10,Begegnungen!$C$249=C10,Begegnungen!$C$250=C10,Begegnungen!$C$251=C10),Begegnungen!$C$255,IF(OR(Begegnungen!$E$245=C10,Begegnungen!$E$246=C10,Begegnungen!$E$247=C10,Begegnungen!$E$248=C10,Begegnungen!$E$249=C10,Begegnungen!$E$250=C10,Begegnungen!$E$251=C10),Begegnungen!$E$255,""))</f>
        <v>2</v>
      </c>
      <c r="AI10" s="66">
        <f>IF(OR(Begegnungen!$I249=C10,Begegnungen!$I$246=C10,Begegnungen!$I$247=C10,Begegnungen!$I$248=C10,Begegnungen!$I$249=C10,Begegnungen!$I$250=C10,Begegnungen!$I$251=C10),Begegnungen!$I$255,IF(OR(Begegnungen!$K$245=C10,Begegnungen!$K$246=C10,Begegnungen!$K$247=C10,Begegnungen!$K$248=C10,Begegnungen!$K$249=C10,Begegnungen!$K$250=C10,Begegnungen!$K$251=C10),Begegnungen!$K$255,""))</f>
        <v>1</v>
      </c>
      <c r="AJ10" s="66">
        <f>IF(OR(Begegnungen!$C265=C10,Begegnungen!$C$262=C10,Begegnungen!$C$263=C10,Begegnungen!$C$264=C10,Begegnungen!$C$265=C10,Begegnungen!$C$266=C10,Begegnungen!$C$267=C10),Begegnungen!$C$271,IF(OR(Begegnungen!$E$261=C10,Begegnungen!$E$262=C10,Begegnungen!$E$263=C10,Begegnungen!$E$264=C10,Begegnungen!$E$265=C10,Begegnungen!$E$266=C10,Begegnungen!$E$267=C10),Begegnungen!$E$271,""))</f>
        <v>3</v>
      </c>
      <c r="AK10" s="66">
        <f>IF(OR(Begegnungen!$I265=C10,Begegnungen!$I$262=C10,Begegnungen!$I$263=C10,Begegnungen!$I$264=C10,Begegnungen!$I$265=C10,Begegnungen!$I$266=C10,Begegnungen!$I$267=C10),Begegnungen!$I$271,IF(OR(Begegnungen!$K$261=C10,Begegnungen!$K$262=C10,Begegnungen!$K$263=C10,Begegnungen!$K$264=C10,Begegnungen!$K$265=C10,Begegnungen!$K$266=C10,Begegnungen!$K$267=C10),Begegnungen!$K$271,""))</f>
        <v>1</v>
      </c>
      <c r="AL10" s="66">
        <f>IF(OR(Begegnungen!$C281=C10,Begegnungen!$C$278=C10,Begegnungen!$C$279=C10,Begegnungen!$C$280=C10,Begegnungen!$C$281=C10,Begegnungen!$C$282=C10,Begegnungen!$C$283=C10),Begegnungen!$C$287,IF(OR(Begegnungen!$E$277=C10,Begegnungen!$E$278=C10,Begegnungen!$E$279=C10,Begegnungen!$E$280=C10,Begegnungen!$E$281=C10,Begegnungen!$E$282=C10,Begegnungen!$E$283=C10),Begegnungen!$E$287,""))</f>
        <v>3</v>
      </c>
      <c r="AM10" s="136">
        <f>IF(OR(Begegnungen!$I281=C10,Begegnungen!$I$278=C10,Begegnungen!$I$279=C10,Begegnungen!$I$280=C10,Begegnungen!$I$281=C10,Begegnungen!$I$282=C10,Begegnungen!$I$283=C10),Begegnungen!$I$287,IF(OR(Begegnungen!$K$277=C10,Begegnungen!$K$278=C10,Begegnungen!$K$279=C10,Begegnungen!$K$280=C10,Begegnungen!$K$281=C10,Begegnungen!$K$282=C10,Begegnungen!$K$283=C10),Begegnungen!$K$287,""))</f>
        <v>3</v>
      </c>
      <c r="AN10" s="66">
        <f>IF(OR(Begegnungen!$C297=C10,Begegnungen!$C$294=C10,Begegnungen!$C$295=C10,Begegnungen!$C$296=C10,Begegnungen!$C$297=C10,Begegnungen!$C$298=C10,Begegnungen!$C$299=C10),Begegnungen!$C$303,IF(OR(Begegnungen!$E$293=C10,Begegnungen!$E$294=C10,Begegnungen!$E$295=C10,Begegnungen!$E$296=C10,Begegnungen!$E$297=C10,Begegnungen!$E$298=C10,Begegnungen!$E$299=C10),Begegnungen!$E$303,""))</f>
        <v>3</v>
      </c>
      <c r="AO10" s="136">
        <f>IF(OR(Begegnungen!$I297=C10,Begegnungen!$I$294=C10,Begegnungen!$I$295=C10,Begegnungen!$I$296=C10,Begegnungen!$I$297=C10,Begegnungen!$I$298=C10,Begegnungen!$I$299=C10),Begegnungen!$I$303,IF(OR(Begegnungen!$K$293=C10,Begegnungen!$K$294=C10,Begegnungen!$K$295=C10,Begegnungen!$K$296=C10,Begegnungen!$K$297=C10,Begegnungen!$K$298=C10,Begegnungen!$K$299=C10),Begegnungen!$K$303,""))</f>
        <v>3</v>
      </c>
      <c r="AP10" s="136" t="str">
        <f>IF(OR(Begegnungen!$C313=C10,Begegnungen!$C$310=C10,Begegnungen!$C$311=C10,Begegnungen!$C$312=C10,Begegnungen!$C$313=C10,Begegnungen!$C$314=C10,Begegnungen!$C$315=C10),Begegnungen!$C$319,IF(OR(Begegnungen!$E$309=C10,Begegnungen!$E$310=C10,Begegnungen!$E$311=C10,Begegnungen!$E$312=C10,Begegnungen!$E$313=C10,Begegnungen!$E$314=C10,Begegnungen!$E$315=C10),Begegnungen!$E$319,""))</f>
        <v/>
      </c>
      <c r="AQ10" s="66">
        <f>IF(OR(Begegnungen!$I313=C10,Begegnungen!$I$310=C10,Begegnungen!$I$311=C10,Begegnungen!$I$312=C10,Begegnungen!$I$313=C10,Begegnungen!$I$314=C10,Begegnungen!$I$315=C10),Begegnungen!$I$319,IF(OR(Begegnungen!$K$309=C10,Begegnungen!$K$310=C10,Begegnungen!$K$311=C10,Begegnungen!$K$312=C10,Begegnungen!$K$313=C10,Begegnungen!$K$314=C10,Begegnungen!$K$315=C10),Begegnungen!$K$319,""))</f>
        <v>1</v>
      </c>
      <c r="AR10" s="25">
        <f t="shared" si="0"/>
        <v>98</v>
      </c>
      <c r="AS10" s="139">
        <f>Spiele!AS10</f>
        <v>36</v>
      </c>
      <c r="AT10" s="140">
        <f t="shared" si="1"/>
        <v>2.7222222222222223</v>
      </c>
    </row>
    <row r="11" spans="2:46" x14ac:dyDescent="0.25">
      <c r="B11" s="4">
        <v>6</v>
      </c>
      <c r="C11" s="146" t="s">
        <v>17</v>
      </c>
      <c r="D11" s="148">
        <f>IF(OR(Begegnungen!$C$3=C11,Begegnungen!$C$4=C11,Begegnungen!$C$5=C11,Begegnungen!$C$6=C11,Begegnungen!$C$7=C11,Begegnungen!$C$8=C11,Begegnungen!$C$9=C11),Begegnungen!$C$13,IF(OR(Begegnungen!$E$3=C11,Begegnungen!$E$4=C11,Begegnungen!$E$5=C11,Begegnungen!$E$6=C11,Begegnungen!$E$7=C11,Begegnungen!$E$8=C11,Begegnungen!$E$9=C11),Begegnungen!$E$13,""))</f>
        <v>2</v>
      </c>
      <c r="E11" s="66">
        <f>IF(OR(Begegnungen!$I$3=C11,Begegnungen!$I$4=C11,Begegnungen!$I$5=C11,Begegnungen!$I$6=C11,Begegnungen!$I$7=C11,Begegnungen!$I$8=C11,Begegnungen!$I$9=C11),Begegnungen!$I$13,IF(OR(Begegnungen!$K$3=C11,Begegnungen!$K$4=C11,Begegnungen!$K$5=C11,Begegnungen!$K$6=C11,Begegnungen!$K$7=C11,Begegnungen!$K$8=C11,Begegnungen!$K$9=C11),Begegnungen!$K$13,""))</f>
        <v>1</v>
      </c>
      <c r="F11" s="66" t="str">
        <f>IF(OR(Begegnungen!$C$19=C11,Begegnungen!$C$20=C11,Begegnungen!$C$21=C11,Begegnungen!$C$22=C11,Begegnungen!$C$23=C11,Begegnungen!$C$24=C11,Begegnungen!$C$25=C11),Begegnungen!$C$29,IF(OR(Begegnungen!$E$19=C11,Begegnungen!$E$20=C11,Begegnungen!$E$21=C11,Begegnungen!$E$22=C11,Begegnungen!$E$23=C11,Begegnungen!$E$24=C11,Begegnungen!$E$25=C11),Begegnungen!$E$29,""))</f>
        <v/>
      </c>
      <c r="G11" s="66" t="str">
        <f>IF(OR(Begegnungen!$I$19=C11,Begegnungen!$I$20=C11,Begegnungen!$I$21=C11,Begegnungen!$I$22=C11,Begegnungen!$I$23=C11,Begegnungen!$I$24=C11,Begegnungen!$I$25=C11),Begegnungen!$I$29,IF(OR(Begegnungen!$K$19=C11,Begegnungen!$K$20=C11,Begegnungen!$K$21=C11,Begegnungen!$K$22=C11,Begegnungen!$K$23=C11,Begegnungen!$K$24=C11,Begegnungen!$K$25=C11),Begegnungen!$K$29,""))</f>
        <v/>
      </c>
      <c r="H11" s="66">
        <f>IF(OR(Begegnungen!$C$35=C11,Begegnungen!$C$36=C11,Begegnungen!$C$37=C11,Begegnungen!$C$38=C11,Begegnungen!$C$39=C11,Begegnungen!$C$40=C11,Begegnungen!$C$41=C11),Begegnungen!$C$46,IF(OR(Begegnungen!$E$35=C11,Begegnungen!$E$36=C11,Begegnungen!$E$37=C11,Begegnungen!$E$38=C11,Begegnungen!$E$39=C11,Begegnungen!$E$40=C11,Begegnungen!$E$41=C11),Begegnungen!$E$46,""))</f>
        <v>1</v>
      </c>
      <c r="I11" s="66">
        <f>IF(OR(Begegnungen!$I$35=C11,Begegnungen!$I$36=C11,Begegnungen!$I$37=C11,Begegnungen!$I$38=C11,Begegnungen!$I$39=C11,Begegnungen!$I$40=C11,Begegnungen!$I$41=C11),Begegnungen!$I$46,IF(OR(Begegnungen!$K$35=C11,Begegnungen!$K$36=C11,Begegnungen!$K$37=C11,Begegnungen!$K$38=C11,Begegnungen!$K$39=C11,Begegnungen!$K$40=C11,Begegnungen!$K$41=C11),Begegnungen!$K$46,""))</f>
        <v>3</v>
      </c>
      <c r="J11" s="136">
        <f>IF(OR(Begegnungen!$C$52=C11,Begegnungen!$C$53=C11,Begegnungen!$C$54=C11,Begegnungen!$C$55=C11,Begegnungen!$C$56=C11,Begegnungen!$C$57=C11,Begegnungen!$C$58=C11),Begegnungen!$C$62,IF(OR(Begegnungen!$E$52=C11,Begegnungen!$E$53=C11,Begegnungen!$E$54=C11,Begegnungen!$E$55=C11,Begegnungen!$E$56=C11,Begegnungen!$E$57=C11,Begegnungen!$E$58=C11),Begegnungen!$E$62,""))</f>
        <v>3</v>
      </c>
      <c r="K11" s="66">
        <f>IF(OR(Begegnungen!$I$52=C11,Begegnungen!$I$53=C11,Begegnungen!$I$54=C11,Begegnungen!$I$55=C11,Begegnungen!$I$56=C11,Begegnungen!$I$57=C11,Begegnungen!$I$58=C11),Begegnungen!$I$62,IF(OR(Begegnungen!$K$52=C11,Begegnungen!$K$53=C11,Begegnungen!$K$54=C11,Begegnungen!$K$55=C11,Begegnungen!$K$56=C11,Begegnungen!$K$57=C11,Begegnungen!$K$58=C11),Begegnungen!$K$62,""))</f>
        <v>1</v>
      </c>
      <c r="L11" s="136">
        <f>IF(OR(Begegnungen!$C73=C11,Begegnungen!$C$69=C11,Begegnungen!$C$70=C11,Begegnungen!$C$71=C11,Begegnungen!$C$72=C11,Begegnungen!$C$73=C11,Begegnungen!$C$74=C11),Begegnungen!$C$78,IF(OR(Begegnungen!$E$68=C11,Begegnungen!$E$69=C11,Begegnungen!$E$70=C11,Begegnungen!$E$71=C11,Begegnungen!$E$72=C11,Begegnungen!$E$73=C11,Begegnungen!$E$74=C11),Begegnungen!$E$78,""))</f>
        <v>4</v>
      </c>
      <c r="M11" s="66">
        <f>IF(OR(Begegnungen!$I73=C11,Begegnungen!$I$69=C11,Begegnungen!$I$70=C11,Begegnungen!$I$71=C11,Begegnungen!$I$72=C11,Begegnungen!$I$73=C11,Begegnungen!$I$74=C11),Begegnungen!$I$78,IF(OR(Begegnungen!$K$68=C11,Begegnungen!$K$69=C11,Begegnungen!$K$70=C11,Begegnungen!$K$71=C11,Begegnungen!$K$72=C11,Begegnungen!$K$73=C11,Begegnungen!$K$74=C11),Begegnungen!$K$78,""))</f>
        <v>1</v>
      </c>
      <c r="N11" s="66">
        <f>IF(OR(Begegnungen!$C89=C11,Begegnungen!$C$85=C11,Begegnungen!$C$86=C11,Begegnungen!$C$87=C11,Begegnungen!$C$88=C11,Begegnungen!$C$89=C11,Begegnungen!$C$90=C11),Begegnungen!$C$95,IF(OR(Begegnungen!$E$84=C11,Begegnungen!$E$85=C11,Begegnungen!$E$86=C11,Begegnungen!$E$87=C11,Begegnungen!$E$88=C11,Begegnungen!$E$89=C11,Begegnungen!$E$90=C11),Begegnungen!$E$95,""))</f>
        <v>1</v>
      </c>
      <c r="O11" s="66">
        <f>IF(OR(Begegnungen!$I89=C11,Begegnungen!$I$85=C11,Begegnungen!$I$86=C11,Begegnungen!$I$87=C11,Begegnungen!$I$88=C11,Begegnungen!$I$89=C11,Begegnungen!$I$90=C11),Begegnungen!$I$95,IF(OR(Begegnungen!$K$84=C11,Begegnungen!$K$85=C11,Begegnungen!$K$86=C11,Begegnungen!$K$87=C11,Begegnungen!$K$88=C11,Begegnungen!$K$89=C11,Begegnungen!$K$90=C11),Begegnungen!$K$95,""))</f>
        <v>2</v>
      </c>
      <c r="P11" s="66">
        <f>IF(OR(Begegnungen!$C106=C11,Begegnungen!$C$102=C11,Begegnungen!$C$103=C11,Begegnungen!$C$104=C11,Begegnungen!$C$105=C11,Begegnungen!$C$106=C11,Begegnungen!$C$107=C11),Begegnungen!$C$111,IF(OR(Begegnungen!$E$101=C11,Begegnungen!$E$102=C11,Begegnungen!$E$103=C11,Begegnungen!$E$104=C11,Begegnungen!$E$105=C11,Begegnungen!$E$106=C11,Begegnungen!$E$107=C11),Begegnungen!$E$111,""))</f>
        <v>3</v>
      </c>
      <c r="Q11" s="66">
        <f>IF(OR(Begegnungen!$I106=C11,Begegnungen!$I$102=C11,Begegnungen!$I$103=C11,Begegnungen!$I$104=C11,Begegnungen!$I$105=C11,Begegnungen!$I$106=C11,Begegnungen!$I$107=C11),Begegnungen!$I$111,IF(OR(Begegnungen!$K$101=C11,Begegnungen!$K$102=C11,Begegnungen!$K$103=C11,Begegnungen!$K$104=C11,Begegnungen!$K$105=C11,Begegnungen!$K$106=C11,Begegnungen!$K$107=C11),Begegnungen!$K$111,""))</f>
        <v>0</v>
      </c>
      <c r="R11" s="136">
        <f>IF(OR(Begegnungen!$C122=C11,Begegnungen!$C$118=C11,Begegnungen!$C$119=C11,Begegnungen!$C$120=C11,Begegnungen!$C$121=C11,Begegnungen!$C$122=C11,Begegnungen!$C$123=C11),Begegnungen!$C$127,IF(OR(Begegnungen!$E$117=C11,Begegnungen!$E$118=C11,Begegnungen!$E$119=C11,Begegnungen!$E$120=C11,Begegnungen!$E$121=C11,Begegnungen!$E$122=C11,Begegnungen!$E$123=C11),Begegnungen!$E$127,""))</f>
        <v>4</v>
      </c>
      <c r="S11" s="66" t="str">
        <f>IF(OR(Begegnungen!$I$117=C11,Begegnungen!$I$118=C11,Begegnungen!$I$119=C11,Begegnungen!$I$120=C11,Begegnungen!$I$121=C11,Begegnungen!$I$122=C11,Begegnungen!$I$123=C11),Begegnungen!$I$127,IF(OR(Begegnungen!$K$117=C11,Begegnungen!$K$118=C11,Begegnungen!$K$119=C11,Begegnungen!$K$120=C11,Begegnungen!$K$121=C11,Begegnungen!$K$122=C11,Begegnungen!$K$123=C11),Begegnungen!$K$127,""))</f>
        <v/>
      </c>
      <c r="T11" s="66" t="str">
        <f>IF(OR(Begegnungen!$C138=C11,Begegnungen!$C$134=C11,Begegnungen!$C$135=C11,Begegnungen!$C$136=C11,Begegnungen!$C$137=C11,Begegnungen!$C$138=C11,Begegnungen!$C$139=C11),Begegnungen!$C$143,IF(OR(Begegnungen!$E$133=C11,Begegnungen!$E$134=C11,Begegnungen!$E$135=C11,Begegnungen!$E$136=C11,Begegnungen!$E$137=C11,Begegnungen!$E$138=C11,Begegnungen!$E$139=C11),Begegnungen!$E$143,""))</f>
        <v/>
      </c>
      <c r="U11" s="66">
        <f>IF(OR(Begegnungen!$I138=C11,Begegnungen!$I$134=C11,Begegnungen!$I$135=C11,Begegnungen!$I$136=C11,Begegnungen!$I$137=C11,Begegnungen!$I$138=C11,Begegnungen!$I$139=C11),Begegnungen!$I$143,IF(OR(Begegnungen!$K$133=C11,Begegnungen!$K$134=C11,Begegnungen!$K$135=C11,Begegnungen!$K$136=C11,Begegnungen!$K$137=C11,Begegnungen!$K$138=C11,Begegnungen!$K$139=C11),Begegnungen!$K$143,""))</f>
        <v>1</v>
      </c>
      <c r="V11" s="66">
        <f>IF(OR(Begegnungen!$C154=C11,Begegnungen!$C$150=C11,Begegnungen!$C$151=C11,Begegnungen!$C$152=C11,Begegnungen!$C$153=C11,Begegnungen!$C$154=C11,Begegnungen!$C$155=C11),Begegnungen!$C$159,IF(OR(Begegnungen!$E$149=C11,Begegnungen!$E$150=C11,Begegnungen!$E$151=C11,Begegnungen!$E$152=C11,Begegnungen!$E$153=C11,Begegnungen!$E$154=C11,Begegnungen!$E$155=C11),Begegnungen!$E$159,""))</f>
        <v>4</v>
      </c>
      <c r="W11" s="66">
        <f>IF(OR(Begegnungen!$I154=C11,Begegnungen!$I$150=C11,Begegnungen!$I$151=C11,Begegnungen!$I$152=C11,Begegnungen!$I$153=C11,Begegnungen!$I$154=C11,Begegnungen!$I$155=C11),Begegnungen!$I$159,IF(OR(Begegnungen!$K$149=C11,Begegnungen!$K$150=C11,Begegnungen!$K$151=C11,Begegnungen!$K$152=C11,Begegnungen!$K$153=C11,Begegnungen!$K$154=C11,Begegnungen!$K$155=C11),Begegnungen!$K$159,""))</f>
        <v>2</v>
      </c>
      <c r="X11" s="66" t="str">
        <f>IF(OR(Begegnungen!$C170=C11,Begegnungen!$C$166=C11,Begegnungen!$C$167=C11,Begegnungen!$C$168=C11,Begegnungen!$C$169=C11,Begegnungen!$C$170=C11,Begegnungen!$C$171=C11),Begegnungen!$C$175,IF(OR(Begegnungen!$E$165=C11,Begegnungen!$E$166=C11,Begegnungen!$E$167=C11,Begegnungen!$E$168=C11,Begegnungen!$E$169=C11,Begegnungen!$E$170=C11,Begegnungen!$E$171=C11),Begegnungen!$E$175,""))</f>
        <v/>
      </c>
      <c r="Y11" s="66" t="str">
        <f>IF(OR(Begegnungen!$I170=C11,Begegnungen!$I$166=C11,Begegnungen!$I$167=C11,Begegnungen!$I$168=C11,Begegnungen!$I$169=C11,Begegnungen!$I$170=C11,Begegnungen!$I$171=C11),Begegnungen!$I$175,IF(OR(Begegnungen!$K$165=C11,Begegnungen!$K$166=C11,Begegnungen!$K$167=C11,Begegnungen!$K$168=C11,Begegnungen!$K$169=C11,Begegnungen!$K$170=C11,Begegnungen!$K$171=C11),Begegnungen!$K$175,""))</f>
        <v/>
      </c>
      <c r="Z11" s="66">
        <f>IF(OR(Begegnungen!$C186=C11,Begegnungen!$C$182=C11,Begegnungen!$C$183=C11,Begegnungen!$C$184=C11,Begegnungen!$C$185=C11,Begegnungen!$C$186=C11,Begegnungen!$C$187=C11),Begegnungen!$C$191,IF(OR(Begegnungen!$E$181=C11,Begegnungen!$E$182=C11,Begegnungen!$E$183=C11,Begegnungen!$E$184=C11,Begegnungen!$E$185=C11,Begegnungen!$E$186=C11,Begegnungen!$E$187=C11),Begegnungen!$E$191,""))</f>
        <v>7</v>
      </c>
      <c r="AA11" s="66">
        <f>IF(OR(Begegnungen!$I186=C11,Begegnungen!$I$182=C11,Begegnungen!$I$183=C11,Begegnungen!$I$184=C11,Begegnungen!$I$185=C11,Begegnungen!$I$186=C11,Begegnungen!$I$187=C11),Begegnungen!$I$191,IF(OR(Begegnungen!$K$181=C11,Begegnungen!$K$182=C11,Begegnungen!$K$183=C11,Begegnungen!$K$184=C11,Begegnungen!$K$185=C11,Begegnungen!$K$186=C11,Begegnungen!$K$187=C11),Begegnungen!$K$191,""))</f>
        <v>2</v>
      </c>
      <c r="AB11" s="66">
        <f>IF(OR(Begegnungen!$C202=C11,Begegnungen!$C$198=C11,Begegnungen!$C$199=C11,Begegnungen!$C$200=C11,Begegnungen!$C$201=C11,Begegnungen!$C$202=C11,Begegnungen!$C$203=C11),Begegnungen!$C$207,IF(OR(Begegnungen!$E$197=C11,Begegnungen!$E$198=C11,Begegnungen!$E$199=C11,Begegnungen!$E$200=C11,Begegnungen!$E$201=C11,Begegnungen!$E$202=C11,Begegnungen!$E$203=C11),Begegnungen!$E$207,""))</f>
        <v>1</v>
      </c>
      <c r="AC11" s="66">
        <f>IF(OR(Begegnungen!$I202=C11,Begegnungen!$I$198=C11,Begegnungen!$I$199=C11,Begegnungen!$I$200=C11,Begegnungen!$I$201=C11,Begegnungen!$I$202=C11,Begegnungen!$I$203=C11),Begegnungen!$I$207,IF(OR(Begegnungen!$K$197=C11,Begegnungen!$K$198=C11,Begegnungen!$K$199=C11,Begegnungen!$K$200=C11,Begegnungen!$K$201=C11,Begegnungen!$K$202=C11,Begegnungen!$K$203=C11),Begegnungen!$K$207,""))</f>
        <v>5</v>
      </c>
      <c r="AD11" s="66">
        <f>IF(OR(Begegnungen!$C218=C11,Begegnungen!$C$214=C11,Begegnungen!$C$215=C11,Begegnungen!$C$216=C11,Begegnungen!$C$217=C11,Begegnungen!$C$218=C11,Begegnungen!$C$219=C11),Begegnungen!$C$223,IF(OR(Begegnungen!$E$213=C11,Begegnungen!$E$214=C11,Begegnungen!$E$215=C11,Begegnungen!$E$216=C11,Begegnungen!$E$217=C11,Begegnungen!$E$218=C11,Begegnungen!$E$219=C11),Begegnungen!$E$223,""))</f>
        <v>3</v>
      </c>
      <c r="AE11" s="66">
        <f>IF(OR(Begegnungen!$I218=C11,Begegnungen!$I$214=C11,Begegnungen!$I$215=C11,Begegnungen!$I$216=C11,Begegnungen!$I$217=C11,Begegnungen!$I$218=C11,Begegnungen!$I$219=C11),Begegnungen!$I$223,IF(OR(Begegnungen!$K$213=C11,Begegnungen!$K$214=C11,Begegnungen!$K$215=C11,Begegnungen!$K$216=C11,Begegnungen!$K$217=C11,Begegnungen!$K$218=C11,Begegnungen!$K$219=C11),Begegnungen!$K$223,""))</f>
        <v>4</v>
      </c>
      <c r="AF11" s="136">
        <f>IF(OR(Begegnungen!$C234=C11,Begegnungen!$C$230=C11,Begegnungen!$C$231=C11,Begegnungen!$C$232=C11,Begegnungen!$C$233=C11,Begegnungen!$C$234=C11,Begegnungen!$C$235=C11),Begegnungen!$C$239,IF(OR(Begegnungen!$E$229=C11,Begegnungen!$E$230=C11,Begegnungen!$E$231=C11,Begegnungen!$E$232=C11,Begegnungen!$E$233=C11,Begegnungen!$E$234=C11,Begegnungen!$E$235=C11),Begegnungen!$E$239,""))</f>
        <v>0</v>
      </c>
      <c r="AG11" s="66">
        <f>IF(OR(Begegnungen!$I234=C11,Begegnungen!$I$230=C11,Begegnungen!$I$231=C11,Begegnungen!$I$232=C11,Begegnungen!$I$233=C11,Begegnungen!$I$234=C11,Begegnungen!$I$235=C11),Begegnungen!$I$239,IF(OR(Begegnungen!$K$229=C11,Begegnungen!$K$230=C11,Begegnungen!$K$231=C11,Begegnungen!$K$232=C11,Begegnungen!$K$233=C11,Begegnungen!$K$234=C11,Begegnungen!$K$235=C11),Begegnungen!$K$239,""))</f>
        <v>5</v>
      </c>
      <c r="AH11" s="66">
        <f>IF(OR(Begegnungen!$C250=C11,Begegnungen!$C$246=C11,Begegnungen!$C$247=C11,Begegnungen!$C$248=C11,Begegnungen!$C$249=C11,Begegnungen!$C$250=C11,Begegnungen!$C$251=C11),Begegnungen!$C$255,IF(OR(Begegnungen!$E$245=C11,Begegnungen!$E$246=C11,Begegnungen!$E$247=C11,Begegnungen!$E$248=C11,Begegnungen!$E$249=C11,Begegnungen!$E$250=C11,Begegnungen!$E$251=C11),Begegnungen!$E$255,""))</f>
        <v>2</v>
      </c>
      <c r="AI11" s="66">
        <f>IF(OR(Begegnungen!$I250=C11,Begegnungen!$I$246=C11,Begegnungen!$I$247=C11,Begegnungen!$I$248=C11,Begegnungen!$I$249=C11,Begegnungen!$I$250=C11,Begegnungen!$I$251=C11),Begegnungen!$I$255,IF(OR(Begegnungen!$K$245=C11,Begegnungen!$K$246=C11,Begegnungen!$K$247=C11,Begegnungen!$K$248=C11,Begegnungen!$K$249=C11,Begegnungen!$K$250=C11,Begegnungen!$K$251=C11),Begegnungen!$K$255,""))</f>
        <v>2</v>
      </c>
      <c r="AJ11" s="66">
        <f>IF(OR(Begegnungen!$C266=C11,Begegnungen!$C$262=C11,Begegnungen!$C$263=C11,Begegnungen!$C$264=C11,Begegnungen!$C$265=C11,Begegnungen!$C$266=C11,Begegnungen!$C$267=C11),Begegnungen!$C$271,IF(OR(Begegnungen!$E$261=C11,Begegnungen!$E$262=C11,Begegnungen!$E$263=C11,Begegnungen!$E$264=C11,Begegnungen!$E$265=C11,Begegnungen!$E$266=C11,Begegnungen!$E$267=C11),Begegnungen!$E$271,""))</f>
        <v>5</v>
      </c>
      <c r="AK11" s="66">
        <f>IF(OR(Begegnungen!$I266=C11,Begegnungen!$I$262=C11,Begegnungen!$I$263=C11,Begegnungen!$I$264=C11,Begegnungen!$I$265=C11,Begegnungen!$I$266=C11,Begegnungen!$I$267=C11),Begegnungen!$I$271,IF(OR(Begegnungen!$K$261=C11,Begegnungen!$K$262=C11,Begegnungen!$K$263=C11,Begegnungen!$K$264=C11,Begegnungen!$K$265=C11,Begegnungen!$K$266=C11,Begegnungen!$K$267=C11),Begegnungen!$K$271,""))</f>
        <v>1</v>
      </c>
      <c r="AL11" s="66">
        <f>IF(OR(Begegnungen!$C282=C11,Begegnungen!$C$278=C11,Begegnungen!$C$279=C11,Begegnungen!$C$280=C11,Begegnungen!$C$281=C11,Begegnungen!$C$282=C11,Begegnungen!$C$283=C11),Begegnungen!$C$287,IF(OR(Begegnungen!$E$277=C11,Begegnungen!$E$278=C11,Begegnungen!$E$279=C11,Begegnungen!$E$280=C11,Begegnungen!$E$281=C11,Begegnungen!$E$282=C11,Begegnungen!$E$283=C11),Begegnungen!$E$287,""))</f>
        <v>3</v>
      </c>
      <c r="AM11" s="136">
        <f>IF(OR(Begegnungen!$I282=C11,Begegnungen!$I$278=C11,Begegnungen!$I$279=C11,Begegnungen!$I$280=C11,Begegnungen!$I$281=C11,Begegnungen!$I$282=C11,Begegnungen!$I$283=C11),Begegnungen!$I$287,IF(OR(Begegnungen!$K$277=C11,Begegnungen!$K$278=C11,Begegnungen!$K$279=C11,Begegnungen!$K$280=C11,Begegnungen!$K$281=C11,Begegnungen!$K$282=C11,Begegnungen!$K$283=C11),Begegnungen!$K$287,""))</f>
        <v>2</v>
      </c>
      <c r="AN11" s="66" t="str">
        <f>IF(OR(Begegnungen!$C298=C11,Begegnungen!$C$294=C11,Begegnungen!$C$295=C11,Begegnungen!$C$296=C11,Begegnungen!$C$297=C11,Begegnungen!$C$298=C11,Begegnungen!$C$299=C11),Begegnungen!$C$303,IF(OR(Begegnungen!$E$293=C11,Begegnungen!$E$294=C11,Begegnungen!$E$295=C11,Begegnungen!$E$296=C11,Begegnungen!$E$297=C11,Begegnungen!$E$298=C11,Begegnungen!$E$299=C11),Begegnungen!$E$303,""))</f>
        <v/>
      </c>
      <c r="AO11" s="136" t="str">
        <f>IF(OR(Begegnungen!$I298=C11,Begegnungen!$I$294=C11,Begegnungen!$I$295=C11,Begegnungen!$I$296=C11,Begegnungen!$I$297=C11,Begegnungen!$I$298=C11,Begegnungen!$I$299=C11),Begegnungen!$I$303,IF(OR(Begegnungen!$K$293=C11,Begegnungen!$K$294=C11,Begegnungen!$K$295=C11,Begegnungen!$K$296=C11,Begegnungen!$K$297=C11,Begegnungen!$K$298=C11,Begegnungen!$K$299=C11),Begegnungen!$K$303,""))</f>
        <v/>
      </c>
      <c r="AP11" s="136" t="str">
        <f>IF(OR(Begegnungen!$C314=C11,Begegnungen!$C$310=C11,Begegnungen!$C$311=C11,Begegnungen!$C$312=C11,Begegnungen!$C$313=C11,Begegnungen!$C$314=C11,Begegnungen!$C$315=C11),Begegnungen!$C$319,IF(OR(Begegnungen!$E$309=C11,Begegnungen!$E$310=C11,Begegnungen!$E$311=C11,Begegnungen!$E$312=C11,Begegnungen!$E$313=C11,Begegnungen!$E$314=C11,Begegnungen!$E$315=C11),Begegnungen!$E$319,""))</f>
        <v/>
      </c>
      <c r="AQ11" s="66">
        <f>IF(OR(Begegnungen!$I314=C11,Begegnungen!$I$310=C11,Begegnungen!$I$311=C11,Begegnungen!$I$312=C11,Begegnungen!$I$313=C11,Begegnungen!$I$314=C11,Begegnungen!$I$315=C11),Begegnungen!$I$319,IF(OR(Begegnungen!$K$309=C11,Begegnungen!$K$310=C11,Begegnungen!$K$311=C11,Begegnungen!$K$312=C11,Begegnungen!$K$313=C11,Begegnungen!$K$314=C11,Begegnungen!$K$315=C11),Begegnungen!$K$319,""))</f>
        <v>1</v>
      </c>
      <c r="AR11" s="25">
        <f t="shared" si="0"/>
        <v>76</v>
      </c>
      <c r="AS11" s="139">
        <f>Spiele!AS11</f>
        <v>31</v>
      </c>
      <c r="AT11" s="140">
        <f t="shared" si="1"/>
        <v>2.4516129032258065</v>
      </c>
    </row>
    <row r="12" spans="2:46" x14ac:dyDescent="0.25">
      <c r="B12" s="4">
        <v>7</v>
      </c>
      <c r="C12" s="146" t="s">
        <v>21</v>
      </c>
      <c r="D12" s="148">
        <f>IF(OR(Begegnungen!$C$3=C12,Begegnungen!$C$4=C12,Begegnungen!$C$5=C12,Begegnungen!$C$6=C12,Begegnungen!$C$7=C12,Begegnungen!$C$8=C12,Begegnungen!$C$9=C12),Begegnungen!$C$13,IF(OR(Begegnungen!$E$3=C12,Begegnungen!$E$4=C12,Begegnungen!$E$5=C12,Begegnungen!$E$6=C12,Begegnungen!$E$7=C12,Begegnungen!$E$8=C12,Begegnungen!$E$9=C12),Begegnungen!$E$13,""))</f>
        <v>2</v>
      </c>
      <c r="E12" s="66" t="str">
        <f>IF(OR(Begegnungen!$I$3=C12,Begegnungen!$I$4=C12,Begegnungen!$I$5=C12,Begegnungen!$I$6=C12,Begegnungen!$I$7=C12,Begegnungen!$I$8=C12,Begegnungen!$I$9=C12),Begegnungen!$I$13,IF(OR(Begegnungen!$K$3=C12,Begegnungen!$K$4=C12,Begegnungen!$K$5=C12,Begegnungen!$K$6=C12,Begegnungen!$K$7=C12,Begegnungen!$K$8=C12,Begegnungen!$K$9=C12),Begegnungen!$K$13,""))</f>
        <v/>
      </c>
      <c r="F12" s="66" t="str">
        <f>IF(OR(Begegnungen!$C$19=C12,Begegnungen!$C$20=C12,Begegnungen!$C$21=C12,Begegnungen!$C$22=C12,Begegnungen!$C$23=C12,Begegnungen!$C$24=C12,Begegnungen!$C$25=C12),Begegnungen!$C$29,IF(OR(Begegnungen!$E$19=C12,Begegnungen!$E$20=C12,Begegnungen!$E$21=C12,Begegnungen!$E$22=C12,Begegnungen!$E$23=C12,Begegnungen!$E$24=C12,Begegnungen!$E$25=C12),Begegnungen!$E$29,""))</f>
        <v/>
      </c>
      <c r="G12" s="66" t="str">
        <f>IF(OR(Begegnungen!$I$19=C12,Begegnungen!$I$20=C12,Begegnungen!$I$21=C12,Begegnungen!$I$22=C12,Begegnungen!$I$23=C12,Begegnungen!$I$24=C12,Begegnungen!$I$25=C12),Begegnungen!$I$29,IF(OR(Begegnungen!$K$19=C12,Begegnungen!$K$20=C12,Begegnungen!$K$21=C12,Begegnungen!$K$22=C12,Begegnungen!$K$23=C12,Begegnungen!$K$24=C12,Begegnungen!$K$25=C12),Begegnungen!$K$29,""))</f>
        <v/>
      </c>
      <c r="H12" s="66">
        <f>IF(OR(Begegnungen!$C$35=C12,Begegnungen!$C$36=C12,Begegnungen!$C$37=C12,Begegnungen!$C$38=C12,Begegnungen!$C$39=C12,Begegnungen!$C$40=C12,Begegnungen!$C$41=C12),Begegnungen!$C$46,IF(OR(Begegnungen!$E$35=C12,Begegnungen!$E$36=C12,Begegnungen!$E$37=C12,Begegnungen!$E$38=C12,Begegnungen!$E$39=C12,Begegnungen!$E$40=C12,Begegnungen!$E$41=C12),Begegnungen!$E$46,""))</f>
        <v>6</v>
      </c>
      <c r="I12" s="66">
        <f>IF(OR(Begegnungen!$I$35=C12,Begegnungen!$I$36=C12,Begegnungen!$I$37=C12,Begegnungen!$I$38=C12,Begegnungen!$I$39=C12,Begegnungen!$I$40=C12,Begegnungen!$I$41=C12),Begegnungen!$I$46,IF(OR(Begegnungen!$K$35=C12,Begegnungen!$K$36=C12,Begegnungen!$K$37=C12,Begegnungen!$K$38=C12,Begegnungen!$K$39=C12,Begegnungen!$K$40=C12,Begegnungen!$K$41=C12),Begegnungen!$K$46,""))</f>
        <v>3</v>
      </c>
      <c r="J12" s="136">
        <f>IF(OR(Begegnungen!$C$52=C12,Begegnungen!$C$53=C12,Begegnungen!$C$54=C12,Begegnungen!$C$55=C12,Begegnungen!$C$56=C12,Begegnungen!$C$57=C12,Begegnungen!$C$58=C12),Begegnungen!$C$62,IF(OR(Begegnungen!$E$52=C12,Begegnungen!$E$53=C12,Begegnungen!$E$54=C12,Begegnungen!$E$55=C12,Begegnungen!$E$56=C12,Begegnungen!$E$57=C12,Begegnungen!$E$58=C12),Begegnungen!$E$62,""))</f>
        <v>2</v>
      </c>
      <c r="K12" s="66">
        <f>IF(OR(Begegnungen!$I$52=C12,Begegnungen!$I$53=C12,Begegnungen!$I$54=C12,Begegnungen!$I$55=C12,Begegnungen!$I$56=C12,Begegnungen!$I$57=C12,Begegnungen!$I$58=C12),Begegnungen!$I$62,IF(OR(Begegnungen!$K$52=C12,Begegnungen!$K$53=C12,Begegnungen!$K$54=C12,Begegnungen!$K$55=C12,Begegnungen!$K$56=C12,Begegnungen!$K$57=C12,Begegnungen!$K$58=C12),Begegnungen!$K$62,""))</f>
        <v>4</v>
      </c>
      <c r="L12" s="136">
        <f>IF(OR(Begegnungen!$C74=C12,Begegnungen!$C$69=C12,Begegnungen!$C$70=C12,Begegnungen!$C$71=C12,Begegnungen!$C$72=C12,Begegnungen!$C$73=C12,Begegnungen!$C$74=C12),Begegnungen!$C$78,IF(OR(Begegnungen!$E$68=C12,Begegnungen!$E$69=C12,Begegnungen!$E$70=C12,Begegnungen!$E$71=C12,Begegnungen!$E$72=C12,Begegnungen!$E$73=C12,Begegnungen!$E$74=C12),Begegnungen!$E$78,""))</f>
        <v>4</v>
      </c>
      <c r="M12" s="66" t="str">
        <f>IF(OR(Begegnungen!$I74=C12,Begegnungen!$I$69=C12,Begegnungen!$I$70=C12,Begegnungen!$I$71=C12,Begegnungen!$I$72=C12,Begegnungen!$I$73=C12,Begegnungen!$I$74=C12),Begegnungen!$I$78,IF(OR(Begegnungen!$K$68=C12,Begegnungen!$K$69=C12,Begegnungen!$K$70=C12,Begegnungen!$K$71=C12,Begegnungen!$K$72=C12,Begegnungen!$K$73=C12,Begegnungen!$K$74=C12),Begegnungen!$K$78,""))</f>
        <v/>
      </c>
      <c r="N12" s="66">
        <f>IF(OR(Begegnungen!$C90=C12,Begegnungen!$C$85=C12,Begegnungen!$C$86=C12,Begegnungen!$C$87=C12,Begegnungen!$C$88=C12,Begegnungen!$C$89=C12,Begegnungen!$C$90=C12),Begegnungen!$C$95,IF(OR(Begegnungen!$E$84=C12,Begegnungen!$E$85=C12,Begegnungen!$E$86=C12,Begegnungen!$E$87=C12,Begegnungen!$E$88=C12,Begegnungen!$E$89=C12,Begegnungen!$E$90=C12),Begegnungen!$E$95,""))</f>
        <v>3</v>
      </c>
      <c r="O12" s="66">
        <f>IF(OR(Begegnungen!$I90=C12,Begegnungen!$I$85=C12,Begegnungen!$I$86=C12,Begegnungen!$I$87=C12,Begegnungen!$I$88=C12,Begegnungen!$I$89=C12,Begegnungen!$I$90=C12),Begegnungen!$I$95,IF(OR(Begegnungen!$K$84=C12,Begegnungen!$K$85=C12,Begegnungen!$K$86=C12,Begegnungen!$K$87=C12,Begegnungen!$K$88=C12,Begegnungen!$K$89=C12,Begegnungen!$K$90=C12),Begegnungen!$K$95,""))</f>
        <v>1</v>
      </c>
      <c r="P12" s="66">
        <f>IF(OR(Begegnungen!$C107=C12,Begegnungen!$C$102=C12,Begegnungen!$C$103=C12,Begegnungen!$C$104=C12,Begegnungen!$C$105=C12,Begegnungen!$C$106=C12,Begegnungen!$C$107=C12),Begegnungen!$C$111,IF(OR(Begegnungen!$E$101=C12,Begegnungen!$E$102=C12,Begegnungen!$E$103=C12,Begegnungen!$E$104=C12,Begegnungen!$E$105=C12,Begegnungen!$E$106=C12,Begegnungen!$E$107=C12),Begegnungen!$E$111,""))</f>
        <v>2</v>
      </c>
      <c r="Q12" s="66">
        <f>IF(OR(Begegnungen!$I107=C12,Begegnungen!$I$102=C12,Begegnungen!$I$103=C12,Begegnungen!$I$104=C12,Begegnungen!$I$105=C12,Begegnungen!$I$106=C12,Begegnungen!$I$107=C12),Begegnungen!$I$111,IF(OR(Begegnungen!$K$101=C12,Begegnungen!$K$102=C12,Begegnungen!$K$103=C12,Begegnungen!$K$104=C12,Begegnungen!$K$105=C12,Begegnungen!$K$106=C12,Begegnungen!$K$107=C12),Begegnungen!$K$111,""))</f>
        <v>3</v>
      </c>
      <c r="R12" s="136">
        <f>IF(OR(Begegnungen!$C123=C12,Begegnungen!$C$118=C12,Begegnungen!$C$119=C12,Begegnungen!$C$120=C12,Begegnungen!$C$121=C12,Begegnungen!$C$122=C12,Begegnungen!$C$123=C12),Begegnungen!$C$127,IF(OR(Begegnungen!$E$117=C12,Begegnungen!$E$118=C12,Begegnungen!$E$119=C12,Begegnungen!$E$120=C12,Begegnungen!$E$121=C12,Begegnungen!$E$122=C12,Begegnungen!$E$123=C12),Begegnungen!$E$127,""))</f>
        <v>1</v>
      </c>
      <c r="S12" s="66" t="str">
        <f>IF(OR(Begegnungen!$I$117=C12,Begegnungen!$I$118=C12,Begegnungen!$I$119=C12,Begegnungen!$I$120=C12,Begegnungen!$I$121=C12,Begegnungen!$I$122=C12,Begegnungen!$I$123=C12),Begegnungen!$I$127,IF(OR(Begegnungen!$K$117=C12,Begegnungen!$K$118=C12,Begegnungen!$K$119=C12,Begegnungen!$K$120=C12,Begegnungen!$K$121=C12,Begegnungen!$K$122=C12,Begegnungen!$K$123=C12),Begegnungen!$K$127,""))</f>
        <v/>
      </c>
      <c r="T12" s="66">
        <f>IF(OR(Begegnungen!$C139=C12,Begegnungen!$C$134=C12,Begegnungen!$C$135=C12,Begegnungen!$C$136=C12,Begegnungen!$C$137=C12,Begegnungen!$C$138=C12,Begegnungen!$C$139=C12),Begegnungen!$C$143,IF(OR(Begegnungen!$E$133=C12,Begegnungen!$E$134=C12,Begegnungen!$E$135=C12,Begegnungen!$E$136=C12,Begegnungen!$E$137=C12,Begegnungen!$E$138=C12,Begegnungen!$E$139=C12),Begegnungen!$E$143,""))</f>
        <v>2</v>
      </c>
      <c r="U12" s="66" t="str">
        <f>IF(OR(Begegnungen!$I139=C12,Begegnungen!$I$134=C12,Begegnungen!$I$135=C12,Begegnungen!$I$136=C12,Begegnungen!$I$137=C12,Begegnungen!$I$138=C12,Begegnungen!$I$139=C12),Begegnungen!$I$143,IF(OR(Begegnungen!$K$133=C12,Begegnungen!$K$134=C12,Begegnungen!$K$135=C12,Begegnungen!$K$136=C12,Begegnungen!$K$137=C12,Begegnungen!$K$138=C12,Begegnungen!$K$139=C12),Begegnungen!$K$143,""))</f>
        <v/>
      </c>
      <c r="V12" s="66" t="str">
        <f>IF(OR(Begegnungen!$C155=C12,Begegnungen!$C$150=C12,Begegnungen!$C$151=C12,Begegnungen!$C$152=C12,Begegnungen!$C$153=C12,Begegnungen!$C$154=C12,Begegnungen!$C$155=C12),Begegnungen!$C$159,IF(OR(Begegnungen!$E$149=C12,Begegnungen!$E$150=C12,Begegnungen!$E$151=C12,Begegnungen!$E$152=C12,Begegnungen!$E$153=C12,Begegnungen!$E$154=C12,Begegnungen!$E$155=C12),Begegnungen!$E$159,""))</f>
        <v/>
      </c>
      <c r="W12" s="66">
        <f>IF(OR(Begegnungen!$I155=C12,Begegnungen!$I$150=C12,Begegnungen!$I$151=C12,Begegnungen!$I$152=C12,Begegnungen!$I$153=C12,Begegnungen!$I$154=C12,Begegnungen!$I$155=C12),Begegnungen!$I$159,IF(OR(Begegnungen!$K$149=C12,Begegnungen!$K$150=C12,Begegnungen!$K$151=C12,Begegnungen!$K$152=C12,Begegnungen!$K$153=C12,Begegnungen!$K$154=C12,Begegnungen!$K$155=C12),Begegnungen!$K$159,""))</f>
        <v>2</v>
      </c>
      <c r="X12" s="66">
        <f>IF(OR(Begegnungen!$C171=C12,Begegnungen!$C$166=C12,Begegnungen!$C$167=C12,Begegnungen!$C$168=C12,Begegnungen!$C$169=C12,Begegnungen!$C$170=C12,Begegnungen!$C$171=C12),Begegnungen!$C$175,IF(OR(Begegnungen!$E$165=C12,Begegnungen!$E$166=C12,Begegnungen!$E$167=C12,Begegnungen!$E$168=C12,Begegnungen!$E$169=C12,Begegnungen!$E$170=C12,Begegnungen!$E$171=C12),Begegnungen!$E$175,""))</f>
        <v>3</v>
      </c>
      <c r="Y12" s="66">
        <f>IF(OR(Begegnungen!$I171=C12,Begegnungen!$I$166=C12,Begegnungen!$I$167=C12,Begegnungen!$I$168=C12,Begegnungen!$I$169=C12,Begegnungen!$I$170=C12,Begegnungen!$I$171=C12),Begegnungen!$I$175,IF(OR(Begegnungen!$K$165=C12,Begegnungen!$K$166=C12,Begegnungen!$K$167=C12,Begegnungen!$K$168=C12,Begegnungen!$K$169=C12,Begegnungen!$K$170=C12,Begegnungen!$K$171=C12),Begegnungen!$K$175,""))</f>
        <v>0</v>
      </c>
      <c r="Z12" s="66">
        <f>IF(OR(Begegnungen!$C187=C12,Begegnungen!$C$182=C12,Begegnungen!$C$183=C12,Begegnungen!$C$184=C12,Begegnungen!$C$185=C12,Begegnungen!$C$186=C12,Begegnungen!$C$187=C12),Begegnungen!$C$191,IF(OR(Begegnungen!$E$181=C12,Begegnungen!$E$182=C12,Begegnungen!$E$183=C12,Begegnungen!$E$184=C12,Begegnungen!$E$185=C12,Begegnungen!$E$186=C12,Begegnungen!$E$187=C12),Begegnungen!$E$191,""))</f>
        <v>7</v>
      </c>
      <c r="AA12" s="66">
        <f>IF(OR(Begegnungen!$I187=C12,Begegnungen!$I$182=C12,Begegnungen!$I$183=C12,Begegnungen!$I$184=C12,Begegnungen!$I$185=C12,Begegnungen!$I$186=C12,Begegnungen!$I$187=C12),Begegnungen!$I$191,IF(OR(Begegnungen!$K$181=C12,Begegnungen!$K$182=C12,Begegnungen!$K$183=C12,Begegnungen!$K$184=C12,Begegnungen!$K$185=C12,Begegnungen!$K$186=C12,Begegnungen!$K$187=C12),Begegnungen!$K$191,""))</f>
        <v>8</v>
      </c>
      <c r="AB12" s="66">
        <f>IF(OR(Begegnungen!$C203=C12,Begegnungen!$C$198=C12,Begegnungen!$C$199=C12,Begegnungen!$C$200=C12,Begegnungen!$C$201=C12,Begegnungen!$C$202=C12,Begegnungen!$C$203=C12),Begegnungen!$C$207,IF(OR(Begegnungen!$E$197=C12,Begegnungen!$E$198=C12,Begegnungen!$E$199=C12,Begegnungen!$E$200=C12,Begegnungen!$E$201=C12,Begegnungen!$E$202=C12,Begegnungen!$E$203=C12),Begegnungen!$E$207,""))</f>
        <v>1</v>
      </c>
      <c r="AC12" s="66">
        <f>IF(OR(Begegnungen!$I203=C12,Begegnungen!$I$198=C12,Begegnungen!$I$199=C12,Begegnungen!$I$200=C12,Begegnungen!$I$201=C12,Begegnungen!$I$202=C12,Begegnungen!$I$203=C12),Begegnungen!$I$207,IF(OR(Begegnungen!$K$197=C12,Begegnungen!$K$198=C12,Begegnungen!$K$199=C12,Begegnungen!$K$200=C12,Begegnungen!$K$201=C12,Begegnungen!$K$202=C12,Begegnungen!$K$203=C12),Begegnungen!$K$207,""))</f>
        <v>5</v>
      </c>
      <c r="AD12" s="66">
        <f>IF(OR(Begegnungen!$C219=C12,Begegnungen!$C$214=C12,Begegnungen!$C$215=C12,Begegnungen!$C$216=C12,Begegnungen!$C$217=C12,Begegnungen!$C$218=C12,Begegnungen!$C$219=C12),Begegnungen!$C$223,IF(OR(Begegnungen!$E$213=C12,Begegnungen!$E$214=C12,Begegnungen!$E$215=C12,Begegnungen!$E$216=C12,Begegnungen!$E$217=C12,Begegnungen!$E$218=C12,Begegnungen!$E$219=C12),Begegnungen!$E$223,""))</f>
        <v>5</v>
      </c>
      <c r="AE12" s="66">
        <f>IF(OR(Begegnungen!$I219=C12,Begegnungen!$I$214=C12,Begegnungen!$I$215=C12,Begegnungen!$I$216=C12,Begegnungen!$I$217=C12,Begegnungen!$I$218=C12,Begegnungen!$I$219=C12),Begegnungen!$I$223,IF(OR(Begegnungen!$K$213=C12,Begegnungen!$K$214=C12,Begegnungen!$K$215=C12,Begegnungen!$K$216=C12,Begegnungen!$K$217=C12,Begegnungen!$K$218=C12,Begegnungen!$K$219=C12),Begegnungen!$K$223,""))</f>
        <v>4</v>
      </c>
      <c r="AF12" s="136">
        <f>IF(OR(Begegnungen!$C235=C12,Begegnungen!$C$230=C12,Begegnungen!$C$231=C12,Begegnungen!$C$232=C12,Begegnungen!$C$233=C12,Begegnungen!$C$234=C12,Begegnungen!$C$235=C12),Begegnungen!$C$239,IF(OR(Begegnungen!$E$229=C12,Begegnungen!$E$230=C12,Begegnungen!$E$231=C12,Begegnungen!$E$232=C12,Begegnungen!$E$233=C12,Begegnungen!$E$234=C12,Begegnungen!$E$235=C12),Begegnungen!$E$239,""))</f>
        <v>0</v>
      </c>
      <c r="AG12" s="66">
        <f>IF(OR(Begegnungen!$I235=C12,Begegnungen!$I$230=C12,Begegnungen!$I$231=C12,Begegnungen!$I$232=C12,Begegnungen!$I$233=C12,Begegnungen!$I$234=C12,Begegnungen!$I$235=C12),Begegnungen!$I$239,IF(OR(Begegnungen!$K$229=C12,Begegnungen!$K$230=C12,Begegnungen!$K$231=C12,Begegnungen!$K$232=C12,Begegnungen!$K$233=C12,Begegnungen!$K$234=C12,Begegnungen!$K$235=C12),Begegnungen!$K$239,""))</f>
        <v>1</v>
      </c>
      <c r="AH12" s="66">
        <f>IF(OR(Begegnungen!$C251=C12,Begegnungen!$C$246=C12,Begegnungen!$C$247=C12,Begegnungen!$C$248=C12,Begegnungen!$C$249=C12,Begegnungen!$C$250=C12,Begegnungen!$C$251=C12),Begegnungen!$C$255,IF(OR(Begegnungen!$E$245=C12,Begegnungen!$E$246=C12,Begegnungen!$E$247=C12,Begegnungen!$E$248=C12,Begegnungen!$E$249=C12,Begegnungen!$E$250=C12,Begegnungen!$E$251=C12),Begegnungen!$E$255,""))</f>
        <v>4</v>
      </c>
      <c r="AI12" s="66">
        <f>IF(OR(Begegnungen!$I251=C12,Begegnungen!$I$246=C12,Begegnungen!$I$247=C12,Begegnungen!$I$248=C12,Begegnungen!$I$249=C12,Begegnungen!$I$250=C12,Begegnungen!$I$251=C12),Begegnungen!$I$255,IF(OR(Begegnungen!$K$245=C12,Begegnungen!$K$246=C12,Begegnungen!$K$247=C12,Begegnungen!$K$248=C12,Begegnungen!$K$249=C12,Begegnungen!$K$250=C12,Begegnungen!$K$251=C12),Begegnungen!$K$255,""))</f>
        <v>1</v>
      </c>
      <c r="AJ12" s="66">
        <f>IF(OR(Begegnungen!$C267=C12,Begegnungen!$C$262=C12,Begegnungen!$C$263=C12,Begegnungen!$C$264=C12,Begegnungen!$C$265=C12,Begegnungen!$C$266=C12,Begegnungen!$C$267=C12),Begegnungen!$C$271,IF(OR(Begegnungen!$E$261=C12,Begegnungen!$E$262=C12,Begegnungen!$E$263=C12,Begegnungen!$E$264=C12,Begegnungen!$E$265=C12,Begegnungen!$E$266=C12,Begegnungen!$E$267=C12),Begegnungen!$E$271,""))</f>
        <v>5</v>
      </c>
      <c r="AK12" s="66">
        <f>IF(OR(Begegnungen!$I267=C12,Begegnungen!$I$262=C12,Begegnungen!$I$263=C12,Begegnungen!$I$264=C12,Begegnungen!$I$265=C12,Begegnungen!$I$266=C12,Begegnungen!$I$267=C12),Begegnungen!$I$271,IF(OR(Begegnungen!$K$261=C12,Begegnungen!$K$262=C12,Begegnungen!$K$263=C12,Begegnungen!$K$264=C12,Begegnungen!$K$265=C12,Begegnungen!$K$266=C12,Begegnungen!$K$267=C12),Begegnungen!$K$271,""))</f>
        <v>1</v>
      </c>
      <c r="AL12" s="66">
        <f>IF(OR(Begegnungen!$C283=C12,Begegnungen!$C$278=C12,Begegnungen!$C$279=C12,Begegnungen!$C$280=C12,Begegnungen!$C$281=C12,Begegnungen!$C$282=C12,Begegnungen!$C$283=C12),Begegnungen!$C$287,IF(OR(Begegnungen!$E$277=C12,Begegnungen!$E$278=C12,Begegnungen!$E$279=C12,Begegnungen!$E$280=C12,Begegnungen!$E$281=C12,Begegnungen!$E$282=C12,Begegnungen!$E$283=C12),Begegnungen!$E$287,""))</f>
        <v>5</v>
      </c>
      <c r="AM12" s="136">
        <f>IF(OR(Begegnungen!$I283=C12,Begegnungen!$I$278=C12,Begegnungen!$I$279=C12,Begegnungen!$I$280=C12,Begegnungen!$I$281=C12,Begegnungen!$I$282=C12,Begegnungen!$I$283=C12),Begegnungen!$I$287,IF(OR(Begegnungen!$K$277=C12,Begegnungen!$K$278=C12,Begegnungen!$K$279=C12,Begegnungen!$K$280=C12,Begegnungen!$K$281=C12,Begegnungen!$K$282=C12,Begegnungen!$K$283=C12),Begegnungen!$K$287,""))</f>
        <v>3</v>
      </c>
      <c r="AN12" s="66">
        <f>IF(OR(Begegnungen!$C299=C12,Begegnungen!$C$294=C12,Begegnungen!$C$295=C12,Begegnungen!$C$296=C12,Begegnungen!$C$297=C12,Begegnungen!$C$298=C12,Begegnungen!$C$299=C12),Begegnungen!$C$303,IF(OR(Begegnungen!$E$293=C12,Begegnungen!$E$294=C12,Begegnungen!$E$295=C12,Begegnungen!$E$296=C12,Begegnungen!$E$297=C12,Begegnungen!$E$298=C12,Begegnungen!$E$299=C12),Begegnungen!$E$303,""))</f>
        <v>3</v>
      </c>
      <c r="AO12" s="136">
        <f>IF(OR(Begegnungen!$I299=C12,Begegnungen!$I$294=C12,Begegnungen!$I$295=C12,Begegnungen!$I$296=C12,Begegnungen!$I$297=C12,Begegnungen!$I$298=C12,Begegnungen!$I$299=C12),Begegnungen!$I$303,IF(OR(Begegnungen!$K$293=C12,Begegnungen!$K$294=C12,Begegnungen!$K$295=C12,Begegnungen!$K$296=C12,Begegnungen!$K$297=C12,Begegnungen!$K$298=C12,Begegnungen!$K$299=C12),Begegnungen!$K$303,""))</f>
        <v>3</v>
      </c>
      <c r="AP12" s="136">
        <f>IF(OR(Begegnungen!$C315=C12,Begegnungen!$C$310=C12,Begegnungen!$C$311=C12,Begegnungen!$C$312=C12,Begegnungen!$C$313=C12,Begegnungen!$C$314=C12,Begegnungen!$C$315=C12),Begegnungen!$C$319,IF(OR(Begegnungen!$E$309=C12,Begegnungen!$E$310=C12,Begegnungen!$E$311=C12,Begegnungen!$E$312=C12,Begegnungen!$E$313=C12,Begegnungen!$E$314=C12,Begegnungen!$E$315=C12),Begegnungen!$E$319,""))</f>
        <v>7</v>
      </c>
      <c r="AQ12" s="66">
        <f>IF(OR(Begegnungen!$I315=C12,Begegnungen!$I$310=C12,Begegnungen!$I$311=C12,Begegnungen!$I$312=C12,Begegnungen!$I$313=C12,Begegnungen!$I$314=C12,Begegnungen!$I$315=C12),Begegnungen!$I$319,IF(OR(Begegnungen!$K$309=C12,Begegnungen!$K$310=C12,Begegnungen!$K$311=C12,Begegnungen!$K$312=C12,Begegnungen!$K$313=C12,Begegnungen!$K$314=C12,Begegnungen!$K$315=C12),Begegnungen!$K$319,""))</f>
        <v>1</v>
      </c>
      <c r="AR12" s="25">
        <f t="shared" si="0"/>
        <v>102</v>
      </c>
      <c r="AS12" s="139">
        <f>Spiele!AS12</f>
        <v>33</v>
      </c>
      <c r="AT12" s="140">
        <f t="shared" si="1"/>
        <v>3.0909090909090908</v>
      </c>
    </row>
    <row r="13" spans="2:46" x14ac:dyDescent="0.25">
      <c r="B13" s="4">
        <v>8</v>
      </c>
      <c r="C13" s="146" t="s">
        <v>26</v>
      </c>
      <c r="D13" s="148" t="str">
        <f>IF(OR(Begegnungen!$C$3=C13,Begegnungen!$C$4=C13,Begegnungen!$C$5=C13,Begegnungen!$C$6=C13,Begegnungen!$C$7=C13,Begegnungen!$C$8=C13,Begegnungen!$C$9=C13),Begegnungen!$C$13,IF(OR(Begegnungen!$E$3=C13,Begegnungen!$E$4=C13,Begegnungen!$E$5=C13,Begegnungen!$E$6=C13,Begegnungen!$E$7=C13,Begegnungen!$E$8=C13,Begegnungen!$E$9=C13),Begegnungen!$E$13,""))</f>
        <v/>
      </c>
      <c r="E13" s="66" t="str">
        <f>IF(OR(Begegnungen!$I$3=C13,Begegnungen!$I$4=C13,Begegnungen!$I$5=C13,Begegnungen!$I$6=C13,Begegnungen!$I$7=C13,Begegnungen!$I$8=C13,Begegnungen!$I$9=C13),Begegnungen!$I$13,IF(OR(Begegnungen!$K$3=C13,Begegnungen!$K$4=C13,Begegnungen!$K$5=C13,Begegnungen!$K$6=C13,Begegnungen!$K$7=C13,Begegnungen!$K$8=C13,Begegnungen!$K$9=C13),Begegnungen!$K$13,""))</f>
        <v/>
      </c>
      <c r="F13" s="66" t="str">
        <f>IF(OR(Begegnungen!$C$19=C13,Begegnungen!$C$20=C13,Begegnungen!$C$21=C13,Begegnungen!$C$22=C13,Begegnungen!$C$23=C13,Begegnungen!$C$24=C13,Begegnungen!$C$25=C13),Begegnungen!$C$29,IF(OR(Begegnungen!$E$19=C13,Begegnungen!$E$20=C13,Begegnungen!$E$21=C13,Begegnungen!$E$22=C13,Begegnungen!$E$23=C13,Begegnungen!$E$24=C13,Begegnungen!$E$25=C13),Begegnungen!$E$29,""))</f>
        <v/>
      </c>
      <c r="G13" s="66" t="str">
        <f>IF(OR(Begegnungen!$I$19=C13,Begegnungen!$I$20=C13,Begegnungen!$I$21=C13,Begegnungen!$I$22=C13,Begegnungen!$I$23=C13,Begegnungen!$I$24=C13,Begegnungen!$I$25=C13),Begegnungen!$I$29,IF(OR(Begegnungen!$K$19=C13,Begegnungen!$K$20=C13,Begegnungen!$K$21=C13,Begegnungen!$K$22=C13,Begegnungen!$K$23=C13,Begegnungen!$K$24=C13,Begegnungen!$K$25=C13),Begegnungen!$K$29,""))</f>
        <v/>
      </c>
      <c r="H13" s="66" t="str">
        <f>IF(OR(Begegnungen!$C$35=C13,Begegnungen!$C$36=C13,Begegnungen!$C$37=C13,Begegnungen!$C$38=C13,Begegnungen!$C$39=C13,Begegnungen!$C$40=C13,Begegnungen!$C$41=C13),Begegnungen!$C$46,IF(OR(Begegnungen!$E$35=C13,Begegnungen!$E$36=C13,Begegnungen!$E$37=C13,Begegnungen!$E$38=C13,Begegnungen!$E$39=C13,Begegnungen!$E$40=C13,Begegnungen!$E$41=C13),Begegnungen!$E$46,""))</f>
        <v/>
      </c>
      <c r="I13" s="66" t="str">
        <f>IF(OR(Begegnungen!$I$35=C13,Begegnungen!$I$36=C13,Begegnungen!$I$37=C13,Begegnungen!$I$38=C13,Begegnungen!$I$39=C13,Begegnungen!$I$40=C13,Begegnungen!$I$41=C13),Begegnungen!$I$46,IF(OR(Begegnungen!$K$35=C13,Begegnungen!$K$36=C13,Begegnungen!$K$37=C13,Begegnungen!$K$38=C13,Begegnungen!$K$39=C13,Begegnungen!$K$40=C13,Begegnungen!$K$41=C13),Begegnungen!$K$46,""))</f>
        <v/>
      </c>
      <c r="J13" s="136" t="str">
        <f>IF(OR(Begegnungen!$C$52=C13,Begegnungen!$C$53=C13,Begegnungen!$C$54=C13,Begegnungen!$C$55=C13,Begegnungen!$C$56=C13,Begegnungen!$C$57=C13,Begegnungen!$C$58=C13),Begegnungen!$C$62,IF(OR(Begegnungen!$E$52=C13,Begegnungen!$E$53=C13,Begegnungen!$E$54=C13,Begegnungen!$E$55=C13,Begegnungen!$E$56=C13,Begegnungen!$E$57=C13,Begegnungen!$E$58=C13),Begegnungen!$E$62,""))</f>
        <v/>
      </c>
      <c r="K13" s="66" t="str">
        <f>IF(OR(Begegnungen!$I$52=C13,Begegnungen!$I$53=C13,Begegnungen!$I$54=C13,Begegnungen!$I$55=C13,Begegnungen!$I$56=C13,Begegnungen!$I$57=C13,Begegnungen!$I$58=C13),Begegnungen!$I$62,IF(OR(Begegnungen!$K$52=C13,Begegnungen!$K$53=C13,Begegnungen!$K$54=C13,Begegnungen!$K$55=C13,Begegnungen!$K$56=C13,Begegnungen!$K$57=C13,Begegnungen!$K$58=C13),Begegnungen!$K$62,""))</f>
        <v/>
      </c>
      <c r="L13" s="136" t="str">
        <f>IF(OR(Begegnungen!$C75=C13,Begegnungen!$C$69=C13,Begegnungen!$C$70=C13,Begegnungen!$C$71=C13,Begegnungen!$C$72=C13,Begegnungen!$C$73=C13,Begegnungen!$C$74=C13),Begegnungen!$C$78,IF(OR(Begegnungen!$E$68=C13,Begegnungen!$E$69=C13,Begegnungen!$E$70=C13,Begegnungen!$E$71=C13,Begegnungen!$E$72=C13,Begegnungen!$E$73=C13,Begegnungen!$E$74=C13),Begegnungen!$E$78,""))</f>
        <v/>
      </c>
      <c r="M13" s="66" t="str">
        <f>IF(OR(Begegnungen!$I75=C13,Begegnungen!$I$69=C13,Begegnungen!$I$70=C13,Begegnungen!$I$71=C13,Begegnungen!$I$72=C13,Begegnungen!$I$73=C13,Begegnungen!$I$74=C13),Begegnungen!$I$78,IF(OR(Begegnungen!$K$68=C13,Begegnungen!$K$69=C13,Begegnungen!$K$70=C13,Begegnungen!$K$71=C13,Begegnungen!$K$72=C13,Begegnungen!$K$73=C13,Begegnungen!$K$74=C13),Begegnungen!$K$78,""))</f>
        <v/>
      </c>
      <c r="N13" s="66" t="str">
        <f>IF(OR(Begegnungen!$C92=C13,Begegnungen!$C$85=C13,Begegnungen!$C$86=C13,Begegnungen!$C$87=C13,Begegnungen!$C$88=C13,Begegnungen!$C$89=C13,Begegnungen!$C$90=C13),Begegnungen!$C$95,IF(OR(Begegnungen!$E$84=C13,Begegnungen!$E$85=C13,Begegnungen!$E$86=C13,Begegnungen!$E$87=C13,Begegnungen!$E$88=C13,Begegnungen!$E$89=C13,Begegnungen!$E$90=C13),Begegnungen!$E$95,""))</f>
        <v/>
      </c>
      <c r="O13" s="66" t="str">
        <f>IF(OR(Begegnungen!$I92=C13,Begegnungen!$I$85=C13,Begegnungen!$I$86=C13,Begegnungen!$I$87=C13,Begegnungen!$I$88=C13,Begegnungen!$I$89=C13,Begegnungen!$I$90=C13),Begegnungen!$I$95,IF(OR(Begegnungen!$K$84=C13,Begegnungen!$K$85=C13,Begegnungen!$K$86=C13,Begegnungen!$K$87=C13,Begegnungen!$K$88=C13,Begegnungen!$K$89=C13,Begegnungen!$K$90=C13),Begegnungen!$K$95,""))</f>
        <v/>
      </c>
      <c r="P13" s="66" t="str">
        <f>IF(OR(Begegnungen!$C108=C13,Begegnungen!$C$102=C13,Begegnungen!$C$103=C13,Begegnungen!$C$104=C13,Begegnungen!$C$105=C13,Begegnungen!$C$106=C13,Begegnungen!$C$107=C13),Begegnungen!$C$111,IF(OR(Begegnungen!$E$101=C13,Begegnungen!$E$102=C13,Begegnungen!$E$103=C13,Begegnungen!$E$104=C13,Begegnungen!$E$105=C13,Begegnungen!$E$106=C13,Begegnungen!$E$107=C13),Begegnungen!$E$111,""))</f>
        <v/>
      </c>
      <c r="Q13" s="66" t="str">
        <f>IF(OR(Begegnungen!$I108=C13,Begegnungen!$I$102=C13,Begegnungen!$I$103=C13,Begegnungen!$I$104=C13,Begegnungen!$I$105=C13,Begegnungen!$I$106=C13,Begegnungen!$I$107=C13),Begegnungen!$I$111,IF(OR(Begegnungen!$K$101=C13,Begegnungen!$K$102=C13,Begegnungen!$K$103=C13,Begegnungen!$K$104=C13,Begegnungen!$K$105=C13,Begegnungen!$K$106=C13,Begegnungen!$K$107=C13),Begegnungen!$K$111,""))</f>
        <v/>
      </c>
      <c r="R13" s="136" t="str">
        <f>IF(OR(Begegnungen!$C124=C13,Begegnungen!$C$118=C13,Begegnungen!$C$119=C13,Begegnungen!$C$120=C13,Begegnungen!$C$121=C13,Begegnungen!$C$122=C13,Begegnungen!$C$123=C13),Begegnungen!$C$127,IF(OR(Begegnungen!$E$117=C13,Begegnungen!$E$118=C13,Begegnungen!$E$119=C13,Begegnungen!$E$120=C13,Begegnungen!$E$121=C13,Begegnungen!$E$122=C13,Begegnungen!$E$123=C13),Begegnungen!$E$127,""))</f>
        <v/>
      </c>
      <c r="S13" s="66" t="str">
        <f>IF(OR(Begegnungen!$I$117=C13,Begegnungen!$I$118=C13,Begegnungen!$I$119=C13,Begegnungen!$I$120=C13,Begegnungen!$I$121=C13,Begegnungen!$I$122=C13,Begegnungen!$I$123=C13),Begegnungen!$I$127,IF(OR(Begegnungen!$K$117=C13,Begegnungen!$K$118=C13,Begegnungen!$K$119=C13,Begegnungen!$K$120=C13,Begegnungen!$K$121=C13,Begegnungen!$K$122=C13,Begegnungen!$K$123=C13),Begegnungen!$K$127,""))</f>
        <v/>
      </c>
      <c r="T13" s="66" t="str">
        <f>IF(OR(Begegnungen!$C140=C13,Begegnungen!$C$134=C13,Begegnungen!$C$135=C13,Begegnungen!$C$136=C13,Begegnungen!$C$137=C13,Begegnungen!$C$138=C13,Begegnungen!$C$139=C13),Begegnungen!$C$143,IF(OR(Begegnungen!$E$133=C13,Begegnungen!$E$134=C13,Begegnungen!$E$135=C13,Begegnungen!$E$136=C13,Begegnungen!$E$137=C13,Begegnungen!$E$138=C13,Begegnungen!$E$139=C13),Begegnungen!$E$143,""))</f>
        <v/>
      </c>
      <c r="U13" s="66" t="str">
        <f>IF(OR(Begegnungen!$I140=C13,Begegnungen!$I$134=C13,Begegnungen!$I$135=C13,Begegnungen!$I$136=C13,Begegnungen!$I$137=C13,Begegnungen!$I$138=C13,Begegnungen!$I$139=C13),Begegnungen!$I$143,IF(OR(Begegnungen!$K$133=C13,Begegnungen!$K$134=C13,Begegnungen!$K$135=C13,Begegnungen!$K$136=C13,Begegnungen!$K$137=C13,Begegnungen!$K$138=C13,Begegnungen!$K$139=C13),Begegnungen!$K$143,""))</f>
        <v/>
      </c>
      <c r="V13" s="66" t="str">
        <f>IF(OR(Begegnungen!$C156=C13,Begegnungen!$C$150=C13,Begegnungen!$C$151=C13,Begegnungen!$C$152=C13,Begegnungen!$C$153=C13,Begegnungen!$C$154=C13,Begegnungen!$C$155=C13),Begegnungen!$C$159,IF(OR(Begegnungen!$E$149=C13,Begegnungen!$E$150=C13,Begegnungen!$E$151=C13,Begegnungen!$E$152=C13,Begegnungen!$E$153=C13,Begegnungen!$E$154=C13,Begegnungen!$E$155=C13),Begegnungen!$E$159,""))</f>
        <v/>
      </c>
      <c r="W13" s="66" t="str">
        <f>IF(OR(Begegnungen!$I156=C13,Begegnungen!$I$150=C13,Begegnungen!$I$151=C13,Begegnungen!$I$152=C13,Begegnungen!$I$153=C13,Begegnungen!$I$154=C13,Begegnungen!$I$155=C13),Begegnungen!$I$159,IF(OR(Begegnungen!$K$149=C13,Begegnungen!$K$150=C13,Begegnungen!$K$151=C13,Begegnungen!$K$152=C13,Begegnungen!$K$153=C13,Begegnungen!$K$154=C13,Begegnungen!$K$155=C13),Begegnungen!$K$159,""))</f>
        <v/>
      </c>
      <c r="X13" s="66" t="str">
        <f>IF(OR(Begegnungen!$C172=C13,Begegnungen!$C$166=C13,Begegnungen!$C$167=C13,Begegnungen!$C$168=C13,Begegnungen!$C$169=C13,Begegnungen!$C$170=C13,Begegnungen!$C$171=C13),Begegnungen!$C$175,IF(OR(Begegnungen!$E$165=C13,Begegnungen!$E$166=C13,Begegnungen!$E$167=C13,Begegnungen!$E$168=C13,Begegnungen!$E$169=C13,Begegnungen!$E$170=C13,Begegnungen!$E$171=C13),Begegnungen!$E$175,""))</f>
        <v/>
      </c>
      <c r="Y13" s="66" t="str">
        <f>IF(OR(Begegnungen!$I172=C13,Begegnungen!$I$166=C13,Begegnungen!$I$167=C13,Begegnungen!$I$168=C13,Begegnungen!$I$169=C13,Begegnungen!$I$170=C13,Begegnungen!$I$171=C13),Begegnungen!$I$175,IF(OR(Begegnungen!$K$165=C13,Begegnungen!$K$166=C13,Begegnungen!$K$167=C13,Begegnungen!$K$168=C13,Begegnungen!$K$169=C13,Begegnungen!$K$170=C13,Begegnungen!$K$171=C13),Begegnungen!$K$175,""))</f>
        <v/>
      </c>
      <c r="Z13" s="66" t="str">
        <f>IF(OR(Begegnungen!$C188=C13,Begegnungen!$C$182=C13,Begegnungen!$C$183=C13,Begegnungen!$C$184=C13,Begegnungen!$C$185=C13,Begegnungen!$C$186=C13,Begegnungen!$C$187=C13),Begegnungen!$C$191,IF(OR(Begegnungen!$E$181=C13,Begegnungen!$E$182=C13,Begegnungen!$E$183=C13,Begegnungen!$E$184=C13,Begegnungen!$E$185=C13,Begegnungen!$E$186=C13,Begegnungen!$E$187=C13),Begegnungen!$E$191,""))</f>
        <v/>
      </c>
      <c r="AA13" s="66" t="str">
        <f>IF(OR(Begegnungen!$I188=C13,Begegnungen!$I$182=C13,Begegnungen!$I$183=C13,Begegnungen!$I$184=C13,Begegnungen!$I$185=C13,Begegnungen!$I$186=C13,Begegnungen!$I$187=C13),Begegnungen!$I$191,IF(OR(Begegnungen!$K$181=C13,Begegnungen!$K$182=C13,Begegnungen!$K$183=C13,Begegnungen!$K$184=C13,Begegnungen!$K$185=C13,Begegnungen!$K$186=C13,Begegnungen!$K$187=C13),Begegnungen!$K$191,""))</f>
        <v/>
      </c>
      <c r="AB13" s="66" t="str">
        <f>IF(OR(Begegnungen!$C204=C13,Begegnungen!$C$198=C13,Begegnungen!$C$199=C13,Begegnungen!$C$200=C13,Begegnungen!$C$201=C13,Begegnungen!$C$202=C13,Begegnungen!$C$203=C13),Begegnungen!$C$207,IF(OR(Begegnungen!$E$197=C13,Begegnungen!$E$198=C13,Begegnungen!$E$199=C13,Begegnungen!$E$200=C13,Begegnungen!$E$201=C13,Begegnungen!$E$202=C13,Begegnungen!$E$203=C13),Begegnungen!$E$207,""))</f>
        <v/>
      </c>
      <c r="AC13" s="66" t="str">
        <f>IF(OR(Begegnungen!$I204=C13,Begegnungen!$I$198=C13,Begegnungen!$I$199=C13,Begegnungen!$I$200=C13,Begegnungen!$I$201=C13,Begegnungen!$I$202=C13,Begegnungen!$I$203=C13),Begegnungen!$I$207,IF(OR(Begegnungen!$K$197=C13,Begegnungen!$K$198=C13,Begegnungen!$K$199=C13,Begegnungen!$K$200=C13,Begegnungen!$K$201=C13,Begegnungen!$K$202=C13,Begegnungen!$K$203=C13),Begegnungen!$K$207,""))</f>
        <v/>
      </c>
      <c r="AD13" s="66" t="str">
        <f>IF(OR(Begegnungen!$C220=C13,Begegnungen!$C$214=C13,Begegnungen!$C$215=C13,Begegnungen!$C$216=C13,Begegnungen!$C$217=C13,Begegnungen!$C$218=C13,Begegnungen!$C$219=C13),Begegnungen!$C$223,IF(OR(Begegnungen!$E$213=C13,Begegnungen!$E$214=C13,Begegnungen!$E$215=C13,Begegnungen!$E$216=C13,Begegnungen!$E$217=C13,Begegnungen!$E$218=C13,Begegnungen!$E$219=C13),Begegnungen!$E$223,""))</f>
        <v/>
      </c>
      <c r="AE13" s="66" t="str">
        <f>IF(OR(Begegnungen!$I220=C13,Begegnungen!$I$214=C13,Begegnungen!$I$215=C13,Begegnungen!$I$216=C13,Begegnungen!$I$217=C13,Begegnungen!$I$218=C13,Begegnungen!$I$219=C13),Begegnungen!$I$223,IF(OR(Begegnungen!$K$213=C13,Begegnungen!$K$214=C13,Begegnungen!$K$215=C13,Begegnungen!$K$216=C13,Begegnungen!$K$217=C13,Begegnungen!$K$218=C13,Begegnungen!$K$219=C13),Begegnungen!$K$223,""))</f>
        <v/>
      </c>
      <c r="AF13" s="136" t="str">
        <f>IF(OR(Begegnungen!$C236=C13,Begegnungen!$C$230=C13,Begegnungen!$C$231=C13,Begegnungen!$C$232=C13,Begegnungen!$C$233=C13,Begegnungen!$C$234=C13,Begegnungen!$C$235=C13),Begegnungen!$C$239,IF(OR(Begegnungen!$E$229=C13,Begegnungen!$E$230=C13,Begegnungen!$E$231=C13,Begegnungen!$E$232=C13,Begegnungen!$E$233=C13,Begegnungen!$E$234=C13,Begegnungen!$E$235=C13),Begegnungen!$E$239,""))</f>
        <v/>
      </c>
      <c r="AG13" s="66" t="str">
        <f>IF(OR(Begegnungen!$I236=C13,Begegnungen!$I$230=C13,Begegnungen!$I$231=C13,Begegnungen!$I$232=C13,Begegnungen!$I$233=C13,Begegnungen!$I$234=C13,Begegnungen!$I$235=C13),Begegnungen!$I$239,IF(OR(Begegnungen!$K$229=C13,Begegnungen!$K$230=C13,Begegnungen!$K$231=C13,Begegnungen!$K$232=C13,Begegnungen!$K$233=C13,Begegnungen!$K$234=C13,Begegnungen!$K$235=C13),Begegnungen!$K$239,""))</f>
        <v/>
      </c>
      <c r="AH13" s="66" t="str">
        <f>IF(OR(Begegnungen!$C252=C13,Begegnungen!$C$246=C13,Begegnungen!$C$247=C13,Begegnungen!$C$248=C13,Begegnungen!$C$249=C13,Begegnungen!$C$250=C13,Begegnungen!$C$251=C13),Begegnungen!$C$255,IF(OR(Begegnungen!$E$245=C13,Begegnungen!$E$246=C13,Begegnungen!$E$247=C13,Begegnungen!$E$248=C13,Begegnungen!$E$249=C13,Begegnungen!$E$250=C13,Begegnungen!$E$251=C13),Begegnungen!$E$255,""))</f>
        <v/>
      </c>
      <c r="AI13" s="66" t="str">
        <f>IF(OR(Begegnungen!$I252=C13,Begegnungen!$I$246=C13,Begegnungen!$I$247=C13,Begegnungen!$I$248=C13,Begegnungen!$I$249=C13,Begegnungen!$I$250=C13,Begegnungen!$I$251=C13),Begegnungen!$I$255,IF(OR(Begegnungen!$K$245=C13,Begegnungen!$K$246=C13,Begegnungen!$K$247=C13,Begegnungen!$K$248=C13,Begegnungen!$K$249=C13,Begegnungen!$K$250=C13,Begegnungen!$K$251=C13),Begegnungen!$K$255,""))</f>
        <v/>
      </c>
      <c r="AJ13" s="66" t="str">
        <f>IF(OR(Begegnungen!$C268=C13,Begegnungen!$C$262=C13,Begegnungen!$C$263=C13,Begegnungen!$C$264=C13,Begegnungen!$C$265=C13,Begegnungen!$C$266=C13,Begegnungen!$C$267=C13),Begegnungen!$C$271,IF(OR(Begegnungen!$E$261=C13,Begegnungen!$E$262=C13,Begegnungen!$E$263=C13,Begegnungen!$E$264=C13,Begegnungen!$E$265=C13,Begegnungen!$E$266=C13,Begegnungen!$E$267=C13),Begegnungen!$E$271,""))</f>
        <v/>
      </c>
      <c r="AK13" s="66" t="str">
        <f>IF(OR(Begegnungen!$I268=C13,Begegnungen!$I$262=C13,Begegnungen!$I$263=C13,Begegnungen!$I$264=C13,Begegnungen!$I$265=C13,Begegnungen!$I$266=C13,Begegnungen!$I$267=C13),Begegnungen!$I$271,IF(OR(Begegnungen!$K$261=C13,Begegnungen!$K$262=C13,Begegnungen!$K$263=C13,Begegnungen!$K$264=C13,Begegnungen!$K$265=C13,Begegnungen!$K$266=C13,Begegnungen!$K$267=C13),Begegnungen!$K$271,""))</f>
        <v/>
      </c>
      <c r="AL13" s="66" t="str">
        <f>IF(OR(Begegnungen!$C284=C13,Begegnungen!$C$278=C13,Begegnungen!$C$279=C13,Begegnungen!$C$280=C13,Begegnungen!$C$281=C13,Begegnungen!$C$282=C13,Begegnungen!$C$283=C13),Begegnungen!$C$287,IF(OR(Begegnungen!$E$277=C13,Begegnungen!$E$278=C13,Begegnungen!$E$279=C13,Begegnungen!$E$280=C13,Begegnungen!$E$281=C13,Begegnungen!$E$282=C13,Begegnungen!$E$283=C13),Begegnungen!$E$287,""))</f>
        <v/>
      </c>
      <c r="AM13" s="136" t="str">
        <f>IF(OR(Begegnungen!$I284=C13,Begegnungen!$I$278=C13,Begegnungen!$I$279=C13,Begegnungen!$I$280=C13,Begegnungen!$I$281=C13,Begegnungen!$I$282=C13,Begegnungen!$I$283=C13),Begegnungen!$I$287,IF(OR(Begegnungen!$K$277=C13,Begegnungen!$K$278=C13,Begegnungen!$K$279=C13,Begegnungen!$K$280=C13,Begegnungen!$K$281=C13,Begegnungen!$K$282=C13,Begegnungen!$K$283=C13),Begegnungen!$K$287,""))</f>
        <v/>
      </c>
      <c r="AN13" s="66" t="str">
        <f>IF(OR(Begegnungen!$C300=C13,Begegnungen!$C$294=C13,Begegnungen!$C$295=C13,Begegnungen!$C$296=C13,Begegnungen!$C$297=C13,Begegnungen!$C$298=C13,Begegnungen!$C$299=C13),Begegnungen!$C$303,IF(OR(Begegnungen!$E$293=C13,Begegnungen!$E$294=C13,Begegnungen!$E$295=C13,Begegnungen!$E$296=C13,Begegnungen!$E$297=C13,Begegnungen!$E$298=C13,Begegnungen!$E$299=C13),Begegnungen!$E$303,""))</f>
        <v/>
      </c>
      <c r="AO13" s="136" t="str">
        <f>IF(OR(Begegnungen!$I300=C13,Begegnungen!$I$294=C13,Begegnungen!$I$295=C13,Begegnungen!$I$296=C13,Begegnungen!$I$297=C13,Begegnungen!$I$298=C13,Begegnungen!$I$299=C13),Begegnungen!$I$303,IF(OR(Begegnungen!$K$293=C13,Begegnungen!$K$294=C13,Begegnungen!$K$295=C13,Begegnungen!$K$296=C13,Begegnungen!$K$297=C13,Begegnungen!$K$298=C13,Begegnungen!$K$299=C13),Begegnungen!$K$303,""))</f>
        <v/>
      </c>
      <c r="AP13" s="136" t="str">
        <f>IF(OR(Begegnungen!$C316=C13,Begegnungen!$C$310=C13,Begegnungen!$C$311=C13,Begegnungen!$C$312=C13,Begegnungen!$C$313=C13,Begegnungen!$C$314=C13,Begegnungen!$C$315=C13),Begegnungen!$C$319,IF(OR(Begegnungen!$E$309=C13,Begegnungen!$E$310=C13,Begegnungen!$E$311=C13,Begegnungen!$E$312=C13,Begegnungen!$E$313=C13,Begegnungen!$E$314=C13,Begegnungen!$E$315=C13),Begegnungen!$E$319,""))</f>
        <v/>
      </c>
      <c r="AQ13" s="66" t="str">
        <f>IF(OR(Begegnungen!$I316=C13,Begegnungen!$I$310=C13,Begegnungen!$I$311=C13,Begegnungen!$I$312=C13,Begegnungen!$I$313=C13,Begegnungen!$I$314=C13,Begegnungen!$I$315=C13),Begegnungen!$I$319,IF(OR(Begegnungen!$K$309=C13,Begegnungen!$K$310=C13,Begegnungen!$K$311=C13,Begegnungen!$K$312=C13,Begegnungen!$K$313=C13,Begegnungen!$K$314=C13,Begegnungen!$K$315=C13),Begegnungen!$K$319,""))</f>
        <v/>
      </c>
      <c r="AR13" s="25">
        <f t="shared" si="0"/>
        <v>0</v>
      </c>
      <c r="AS13" s="139">
        <f>Spiele!AS13</f>
        <v>0</v>
      </c>
      <c r="AT13" s="140" t="e">
        <f t="shared" si="1"/>
        <v>#DIV/0!</v>
      </c>
    </row>
    <row r="14" spans="2:46" x14ac:dyDescent="0.25">
      <c r="B14" s="4">
        <v>9</v>
      </c>
      <c r="C14" s="146" t="s">
        <v>18</v>
      </c>
      <c r="D14" s="148" t="str">
        <f>IF(OR(Begegnungen!$C$3=C14,Begegnungen!$C$4=C14,Begegnungen!$C$5=C14,Begegnungen!$C$6=C14,Begegnungen!$C$7=C14,Begegnungen!$C$8=C14,Begegnungen!$C$9=C14),Begegnungen!$C$13,IF(OR(Begegnungen!$E$3=C14,Begegnungen!$E$4=C14,Begegnungen!$E$5=C14,Begegnungen!$E$6=C14,Begegnungen!$E$7=C14,Begegnungen!$E$8=C14,Begegnungen!$E$9=C14),Begegnungen!$E$13,""))</f>
        <v/>
      </c>
      <c r="E14" s="66" t="str">
        <f>IF(OR(Begegnungen!$I$3=C14,Begegnungen!$I$4=C14,Begegnungen!$I$5=C14,Begegnungen!$I$6=C14,Begegnungen!$I$7=C14,Begegnungen!$I$8=C14,Begegnungen!$I$9=C14),Begegnungen!$I$13,IF(OR(Begegnungen!$K$3=C14,Begegnungen!$K$4=C14,Begegnungen!$K$5=C14,Begegnungen!$K$6=C14,Begegnungen!$K$7=C14,Begegnungen!$K$8=C14,Begegnungen!$K$9=C14),Begegnungen!$K$13,""))</f>
        <v/>
      </c>
      <c r="F14" s="66" t="str">
        <f>IF(OR(Begegnungen!$C$19=C14,Begegnungen!$C$20=C14,Begegnungen!$C$21=C14,Begegnungen!$C$22=C14,Begegnungen!$C$23=C14,Begegnungen!$C$24=C14,Begegnungen!$C$25=C14),Begegnungen!$C$29,IF(OR(Begegnungen!$E$19=C14,Begegnungen!$E$20=C14,Begegnungen!$E$21=C14,Begegnungen!$E$22=C14,Begegnungen!$E$23=C14,Begegnungen!$E$24=C14,Begegnungen!$E$25=C14),Begegnungen!$E$29,""))</f>
        <v/>
      </c>
      <c r="G14" s="66" t="str">
        <f>IF(OR(Begegnungen!$I$19=C14,Begegnungen!$I$20=C14,Begegnungen!$I$21=C14,Begegnungen!$I$22=C14,Begegnungen!$I$23=C14,Begegnungen!$I$24=C14,Begegnungen!$I$25=C14),Begegnungen!$I$29,IF(OR(Begegnungen!$K$19=C14,Begegnungen!$K$20=C14,Begegnungen!$K$21=C14,Begegnungen!$K$22=C14,Begegnungen!$K$23=C14,Begegnungen!$K$24=C14,Begegnungen!$K$25=C14),Begegnungen!$K$29,""))</f>
        <v/>
      </c>
      <c r="H14" s="66" t="str">
        <f>IF(OR(Begegnungen!$C$35=C14,Begegnungen!$C$36=C14,Begegnungen!$C$37=C14,Begegnungen!$C$38=C14,Begegnungen!$C$39=C14,Begegnungen!$C$40=C14,Begegnungen!$C$41=C14),Begegnungen!$C$46,IF(OR(Begegnungen!$E$35=C14,Begegnungen!$E$36=C14,Begegnungen!$E$37=C14,Begegnungen!$E$38=C14,Begegnungen!$E$39=C14,Begegnungen!$E$40=C14,Begegnungen!$E$41=C14),Begegnungen!$E$46,""))</f>
        <v/>
      </c>
      <c r="I14" s="66" t="str">
        <f>IF(OR(Begegnungen!$I$35=C14,Begegnungen!$I$36=C14,Begegnungen!$I$37=C14,Begegnungen!$I$38=C14,Begegnungen!$I$39=C14,Begegnungen!$I$40=C14,Begegnungen!$I$41=C14),Begegnungen!$I$46,IF(OR(Begegnungen!$K$35=C14,Begegnungen!$K$36=C14,Begegnungen!$K$37=C14,Begegnungen!$K$38=C14,Begegnungen!$K$39=C14,Begegnungen!$K$40=C14,Begegnungen!$K$41=C14),Begegnungen!$K$46,""))</f>
        <v/>
      </c>
      <c r="J14" s="136" t="str">
        <f>IF(OR(Begegnungen!$C$52=C14,Begegnungen!$C$53=C14,Begegnungen!$C$54=C14,Begegnungen!$C$55=C14,Begegnungen!$C$56=C14,Begegnungen!$C$57=C14,Begegnungen!$C$58=C14),Begegnungen!$C$62,IF(OR(Begegnungen!$E$52=C14,Begegnungen!$E$53=C14,Begegnungen!$E$54=C14,Begegnungen!$E$55=C14,Begegnungen!$E$56=C14,Begegnungen!$E$57=C14,Begegnungen!$E$58=C14),Begegnungen!$E$62,""))</f>
        <v/>
      </c>
      <c r="K14" s="66" t="str">
        <f>IF(OR(Begegnungen!$I$52=C14,Begegnungen!$I$53=C14,Begegnungen!$I$54=C14,Begegnungen!$I$55=C14,Begegnungen!$I$56=C14,Begegnungen!$I$57=C14,Begegnungen!$I$58=C14),Begegnungen!$I$62,IF(OR(Begegnungen!$K$52=C14,Begegnungen!$K$53=C14,Begegnungen!$K$54=C14,Begegnungen!$K$55=C14,Begegnungen!$K$56=C14,Begegnungen!$K$57=C14,Begegnungen!$K$58=C14),Begegnungen!$K$62,""))</f>
        <v/>
      </c>
      <c r="L14" s="136" t="str">
        <f>IF(OR(Begegnungen!$C76=C14,Begegnungen!$C$69=C14,Begegnungen!$C$70=C14,Begegnungen!$C$71=C14,Begegnungen!$C$72=C14,Begegnungen!$C$73=C14,Begegnungen!$C$74=C14),Begegnungen!$C$78,IF(OR(Begegnungen!$E$68=C14,Begegnungen!$E$69=C14,Begegnungen!$E$70=C14,Begegnungen!$E$71=C14,Begegnungen!$E$72=C14,Begegnungen!$E$73=C14,Begegnungen!$E$74=C14),Begegnungen!$E$78,""))</f>
        <v/>
      </c>
      <c r="M14" s="66" t="str">
        <f>IF(OR(Begegnungen!$I76=C14,Begegnungen!$I$69=C14,Begegnungen!$I$70=C14,Begegnungen!$I$71=C14,Begegnungen!$I$72=C14,Begegnungen!$I$73=C14,Begegnungen!$I$74=C14),Begegnungen!$I$78,IF(OR(Begegnungen!$K$68=C14,Begegnungen!$K$69=C14,Begegnungen!$K$70=C14,Begegnungen!$K$71=C14,Begegnungen!$K$72=C14,Begegnungen!$K$73=C14,Begegnungen!$K$74=C14),Begegnungen!$K$78,""))</f>
        <v/>
      </c>
      <c r="N14" s="66" t="str">
        <f>IF(OR(Begegnungen!$C93=C14,Begegnungen!$C$85=C14,Begegnungen!$C$86=C14,Begegnungen!$C$87=C14,Begegnungen!$C$88=C14,Begegnungen!$C$89=C14,Begegnungen!$C$90=C14),Begegnungen!$C$95,IF(OR(Begegnungen!$E$84=C14,Begegnungen!$E$85=C14,Begegnungen!$E$86=C14,Begegnungen!$E$87=C14,Begegnungen!$E$88=C14,Begegnungen!$E$89=C14,Begegnungen!$E$90=C14),Begegnungen!$E$95,""))</f>
        <v/>
      </c>
      <c r="O14" s="66" t="str">
        <f>IF(OR(Begegnungen!$I93=C14,Begegnungen!$I$85=C14,Begegnungen!$I$86=C14,Begegnungen!$I$87=C14,Begegnungen!$I$88=C14,Begegnungen!$I$89=C14,Begegnungen!$I$90=C14),Begegnungen!$I$95,IF(OR(Begegnungen!$K$84=C14,Begegnungen!$K$85=C14,Begegnungen!$K$86=C14,Begegnungen!$K$87=C14,Begegnungen!$K$88=C14,Begegnungen!$K$89=C14,Begegnungen!$K$90=C14),Begegnungen!$K$95,""))</f>
        <v/>
      </c>
      <c r="P14" s="66" t="str">
        <f>IF(OR(Begegnungen!$C109=C14,Begegnungen!$C$102=C14,Begegnungen!$C$103=C14,Begegnungen!$C$104=C14,Begegnungen!$C$105=C14,Begegnungen!$C$106=C14,Begegnungen!$C$107=C14),Begegnungen!$C$111,IF(OR(Begegnungen!$E$101=C14,Begegnungen!$E$102=C14,Begegnungen!$E$103=C14,Begegnungen!$E$104=C14,Begegnungen!$E$105=C14,Begegnungen!$E$106=C14,Begegnungen!$E$107=C14),Begegnungen!$E$111,""))</f>
        <v/>
      </c>
      <c r="Q14" s="66" t="str">
        <f>IF(OR(Begegnungen!$I109=C14,Begegnungen!$I$102=C14,Begegnungen!$I$103=C14,Begegnungen!$I$104=C14,Begegnungen!$I$105=C14,Begegnungen!$I$106=C14,Begegnungen!$I$107=C14),Begegnungen!$I$111,IF(OR(Begegnungen!$K$101=C14,Begegnungen!$K$102=C14,Begegnungen!$K$103=C14,Begegnungen!$K$104=C14,Begegnungen!$K$105=C14,Begegnungen!$K$106=C14,Begegnungen!$K$107=C14),Begegnungen!$K$111,""))</f>
        <v/>
      </c>
      <c r="R14" s="136" t="str">
        <f>IF(OR(Begegnungen!$C125=C14,Begegnungen!$C$118=C14,Begegnungen!$C$119=C14,Begegnungen!$C$120=C14,Begegnungen!$C$121=C14,Begegnungen!$C$122=C14,Begegnungen!$C$123=C14),Begegnungen!$C$127,IF(OR(Begegnungen!$E$117=C14,Begegnungen!$E$118=C14,Begegnungen!$E$119=C14,Begegnungen!$E$120=C14,Begegnungen!$E$121=C14,Begegnungen!$E$122=C14,Begegnungen!$E$123=C14),Begegnungen!$E$127,""))</f>
        <v/>
      </c>
      <c r="S14" s="66" t="str">
        <f>IF(OR(Begegnungen!$I$117=C14,Begegnungen!$I$118=C14,Begegnungen!$I$119=C14,Begegnungen!$I$120=C14,Begegnungen!$I$121=C14,Begegnungen!$I$122=C14,Begegnungen!$I$123=C14),Begegnungen!$I$127,IF(OR(Begegnungen!$K$117=C14,Begegnungen!$K$118=C14,Begegnungen!$K$119=C14,Begegnungen!$K$120=C14,Begegnungen!$K$121=C14,Begegnungen!$K$122=C14,Begegnungen!$K$123=C14),Begegnungen!$K$127,""))</f>
        <v/>
      </c>
      <c r="T14" s="66" t="str">
        <f>IF(OR(Begegnungen!$C141=C14,Begegnungen!$C$134=C14,Begegnungen!$C$135=C14,Begegnungen!$C$136=C14,Begegnungen!$C$137=C14,Begegnungen!$C$138=C14,Begegnungen!$C$139=C14),Begegnungen!$C$143,IF(OR(Begegnungen!$E$133=C14,Begegnungen!$E$134=C14,Begegnungen!$E$135=C14,Begegnungen!$E$136=C14,Begegnungen!$E$137=C14,Begegnungen!$E$138=C14,Begegnungen!$E$139=C14),Begegnungen!$E$143,""))</f>
        <v/>
      </c>
      <c r="U14" s="66" t="str">
        <f>IF(OR(Begegnungen!$I141=C14,Begegnungen!$I$134=C14,Begegnungen!$I$135=C14,Begegnungen!$I$136=C14,Begegnungen!$I$137=C14,Begegnungen!$I$138=C14,Begegnungen!$I$139=C14),Begegnungen!$I$143,IF(OR(Begegnungen!$K$133=C14,Begegnungen!$K$134=C14,Begegnungen!$K$135=C14,Begegnungen!$K$136=C14,Begegnungen!$K$137=C14,Begegnungen!$K$138=C14,Begegnungen!$K$139=C14),Begegnungen!$K$143,""))</f>
        <v/>
      </c>
      <c r="V14" s="66" t="str">
        <f>IF(OR(Begegnungen!$C157=C14,Begegnungen!$C$150=C14,Begegnungen!$C$151=C14,Begegnungen!$C$152=C14,Begegnungen!$C$153=C14,Begegnungen!$C$154=C14,Begegnungen!$C$155=C14),Begegnungen!$C$159,IF(OR(Begegnungen!$E$149=C14,Begegnungen!$E$150=C14,Begegnungen!$E$151=C14,Begegnungen!$E$152=C14,Begegnungen!$E$153=C14,Begegnungen!$E$154=C14,Begegnungen!$E$155=C14),Begegnungen!$E$159,""))</f>
        <v/>
      </c>
      <c r="W14" s="66" t="str">
        <f>IF(OR(Begegnungen!$I157=C14,Begegnungen!$I$150=C14,Begegnungen!$I$151=C14,Begegnungen!$I$152=C14,Begegnungen!$I$153=C14,Begegnungen!$I$154=C14,Begegnungen!$I$155=C14),Begegnungen!$I$159,IF(OR(Begegnungen!$K$149=C14,Begegnungen!$K$150=C14,Begegnungen!$K$151=C14,Begegnungen!$K$152=C14,Begegnungen!$K$153=C14,Begegnungen!$K$154=C14,Begegnungen!$K$155=C14),Begegnungen!$K$159,""))</f>
        <v/>
      </c>
      <c r="X14" s="66" t="str">
        <f>IF(OR(Begegnungen!$C173=C14,Begegnungen!$C$166=C14,Begegnungen!$C$167=C14,Begegnungen!$C$168=C14,Begegnungen!$C$169=C14,Begegnungen!$C$170=C14,Begegnungen!$C$171=C14),Begegnungen!$C$175,IF(OR(Begegnungen!$E$165=C14,Begegnungen!$E$166=C14,Begegnungen!$E$167=C14,Begegnungen!$E$168=C14,Begegnungen!$E$169=C14,Begegnungen!$E$170=C14,Begegnungen!$E$171=C14),Begegnungen!$E$175,""))</f>
        <v/>
      </c>
      <c r="Y14" s="66" t="str">
        <f>IF(OR(Begegnungen!$I173=C14,Begegnungen!$I$166=C14,Begegnungen!$I$167=C14,Begegnungen!$I$168=C14,Begegnungen!$I$169=C14,Begegnungen!$I$170=C14,Begegnungen!$I$171=C14),Begegnungen!$I$175,IF(OR(Begegnungen!$K$165=C14,Begegnungen!$K$166=C14,Begegnungen!$K$167=C14,Begegnungen!$K$168=C14,Begegnungen!$K$169=C14,Begegnungen!$K$170=C14,Begegnungen!$K$171=C14),Begegnungen!$K$175,""))</f>
        <v/>
      </c>
      <c r="Z14" s="66" t="str">
        <f>IF(OR(Begegnungen!$C189=C14,Begegnungen!$C$182=C14,Begegnungen!$C$183=C14,Begegnungen!$C$184=C14,Begegnungen!$C$185=C14,Begegnungen!$C$186=C14,Begegnungen!$C$187=C14),Begegnungen!$C$191,IF(OR(Begegnungen!$E$181=C14,Begegnungen!$E$182=C14,Begegnungen!$E$183=C14,Begegnungen!$E$184=C14,Begegnungen!$E$185=C14,Begegnungen!$E$186=C14,Begegnungen!$E$187=C14),Begegnungen!$E$191,""))</f>
        <v/>
      </c>
      <c r="AA14" s="66" t="str">
        <f>IF(OR(Begegnungen!$I189=C14,Begegnungen!$I$182=C14,Begegnungen!$I$183=C14,Begegnungen!$I$184=C14,Begegnungen!$I$185=C14,Begegnungen!$I$186=C14,Begegnungen!$I$187=C14),Begegnungen!$I$191,IF(OR(Begegnungen!$K$181=C14,Begegnungen!$K$182=C14,Begegnungen!$K$183=C14,Begegnungen!$K$184=C14,Begegnungen!$K$185=C14,Begegnungen!$K$186=C14,Begegnungen!$K$187=C14),Begegnungen!$K$191,""))</f>
        <v/>
      </c>
      <c r="AB14" s="66" t="str">
        <f>IF(OR(Begegnungen!$C205=C14,Begegnungen!$C$198=C14,Begegnungen!$C$199=C14,Begegnungen!$C$200=C14,Begegnungen!$C$201=C14,Begegnungen!$C$202=C14,Begegnungen!$C$203=C14),Begegnungen!$C$207,IF(OR(Begegnungen!$E$197=C14,Begegnungen!$E$198=C14,Begegnungen!$E$199=C14,Begegnungen!$E$200=C14,Begegnungen!$E$201=C14,Begegnungen!$E$202=C14,Begegnungen!$E$203=C14),Begegnungen!$E$207,""))</f>
        <v/>
      </c>
      <c r="AC14" s="66" t="str">
        <f>IF(OR(Begegnungen!$I205=C14,Begegnungen!$I$198=C14,Begegnungen!$I$199=C14,Begegnungen!$I$200=C14,Begegnungen!$I$201=C14,Begegnungen!$I$202=C14,Begegnungen!$I$203=C14),Begegnungen!$I$207,IF(OR(Begegnungen!$K$197=C14,Begegnungen!$K$198=C14,Begegnungen!$K$199=C14,Begegnungen!$K$200=C14,Begegnungen!$K$201=C14,Begegnungen!$K$202=C14,Begegnungen!$K$203=C14),Begegnungen!$K$207,""))</f>
        <v/>
      </c>
      <c r="AD14" s="66" t="str">
        <f>IF(OR(Begegnungen!$C221=C14,Begegnungen!$C$214=C14,Begegnungen!$C$215=C14,Begegnungen!$C$216=C14,Begegnungen!$C$217=C14,Begegnungen!$C$218=C14,Begegnungen!$C$219=C14),Begegnungen!$C$223,IF(OR(Begegnungen!$E$213=C14,Begegnungen!$E$214=C14,Begegnungen!$E$215=C14,Begegnungen!$E$216=C14,Begegnungen!$E$217=C14,Begegnungen!$E$218=C14,Begegnungen!$E$219=C14),Begegnungen!$E$223,""))</f>
        <v/>
      </c>
      <c r="AE14" s="66" t="str">
        <f>IF(OR(Begegnungen!$I221=C14,Begegnungen!$I$214=C14,Begegnungen!$I$215=C14,Begegnungen!$I$216=C14,Begegnungen!$I$217=C14,Begegnungen!$I$218=C14,Begegnungen!$I$219=C14),Begegnungen!$I$223,IF(OR(Begegnungen!$K$213=C14,Begegnungen!$K$214=C14,Begegnungen!$K$215=C14,Begegnungen!$K$216=C14,Begegnungen!$K$217=C14,Begegnungen!$K$218=C14,Begegnungen!$K$219=C14),Begegnungen!$K$223,""))</f>
        <v/>
      </c>
      <c r="AF14" s="136" t="str">
        <f>IF(OR(Begegnungen!$C237=C14,Begegnungen!$C$230=C14,Begegnungen!$C$231=C14,Begegnungen!$C$232=C14,Begegnungen!$C$233=C14,Begegnungen!$C$234=C14,Begegnungen!$C$235=C14),Begegnungen!$C$239,IF(OR(Begegnungen!$E$229=C14,Begegnungen!$E$230=C14,Begegnungen!$E$231=C14,Begegnungen!$E$232=C14,Begegnungen!$E$233=C14,Begegnungen!$E$234=C14,Begegnungen!$E$235=C14),Begegnungen!$E$239,""))</f>
        <v/>
      </c>
      <c r="AG14" s="66" t="str">
        <f>IF(OR(Begegnungen!$I237=C14,Begegnungen!$I$230=C14,Begegnungen!$I$231=C14,Begegnungen!$I$232=C14,Begegnungen!$I$233=C14,Begegnungen!$I$234=C14,Begegnungen!$I$235=C14),Begegnungen!$I$239,IF(OR(Begegnungen!$K$229=C14,Begegnungen!$K$230=C14,Begegnungen!$K$231=C14,Begegnungen!$K$232=C14,Begegnungen!$K$233=C14,Begegnungen!$K$234=C14,Begegnungen!$K$235=C14),Begegnungen!$K$239,""))</f>
        <v/>
      </c>
      <c r="AH14" s="66" t="str">
        <f>IF(OR(Begegnungen!$C253=C14,Begegnungen!$C$246=C14,Begegnungen!$C$247=C14,Begegnungen!$C$248=C14,Begegnungen!$C$249=C14,Begegnungen!$C$250=C14,Begegnungen!$C$251=C14),Begegnungen!$C$255,IF(OR(Begegnungen!$E$245=C14,Begegnungen!$E$246=C14,Begegnungen!$E$247=C14,Begegnungen!$E$248=C14,Begegnungen!$E$249=C14,Begegnungen!$E$250=C14,Begegnungen!$E$251=C14),Begegnungen!$E$255,""))</f>
        <v/>
      </c>
      <c r="AI14" s="66" t="str">
        <f>IF(OR(Begegnungen!$I253=C14,Begegnungen!$I$246=C14,Begegnungen!$I$247=C14,Begegnungen!$I$248=C14,Begegnungen!$I$249=C14,Begegnungen!$I$250=C14,Begegnungen!$I$251=C14),Begegnungen!$I$255,IF(OR(Begegnungen!$K$245=C14,Begegnungen!$K$246=C14,Begegnungen!$K$247=C14,Begegnungen!$K$248=C14,Begegnungen!$K$249=C14,Begegnungen!$K$250=C14,Begegnungen!$K$251=C14),Begegnungen!$K$255,""))</f>
        <v/>
      </c>
      <c r="AJ14" s="66" t="str">
        <f>IF(OR(Begegnungen!$C269=C14,Begegnungen!$C$262=C14,Begegnungen!$C$263=C14,Begegnungen!$C$264=C14,Begegnungen!$C$265=C14,Begegnungen!$C$266=C14,Begegnungen!$C$267=C14),Begegnungen!$C$271,IF(OR(Begegnungen!$E$261=C14,Begegnungen!$E$262=C14,Begegnungen!$E$263=C14,Begegnungen!$E$264=C14,Begegnungen!$E$265=C14,Begegnungen!$E$266=C14,Begegnungen!$E$267=C14),Begegnungen!$E$271,""))</f>
        <v/>
      </c>
      <c r="AK14" s="66" t="str">
        <f>IF(OR(Begegnungen!$I269=C14,Begegnungen!$I$262=C14,Begegnungen!$I$263=C14,Begegnungen!$I$264=C14,Begegnungen!$I$265=C14,Begegnungen!$I$266=C14,Begegnungen!$I$267=C14),Begegnungen!$I$271,IF(OR(Begegnungen!$K$261=C14,Begegnungen!$K$262=C14,Begegnungen!$K$263=C14,Begegnungen!$K$264=C14,Begegnungen!$K$265=C14,Begegnungen!$K$266=C14,Begegnungen!$K$267=C14),Begegnungen!$K$271,""))</f>
        <v/>
      </c>
      <c r="AL14" s="66" t="str">
        <f>IF(OR(Begegnungen!$C285=C14,Begegnungen!$C$278=C14,Begegnungen!$C$279=C14,Begegnungen!$C$280=C14,Begegnungen!$C$281=C14,Begegnungen!$C$282=C14,Begegnungen!$C$283=C14),Begegnungen!$C$287,IF(OR(Begegnungen!$E$277=C14,Begegnungen!$E$278=C14,Begegnungen!$E$279=C14,Begegnungen!$E$280=C14,Begegnungen!$E$281=C14,Begegnungen!$E$282=C14,Begegnungen!$E$283=C14),Begegnungen!$E$287,""))</f>
        <v/>
      </c>
      <c r="AM14" s="136" t="str">
        <f>IF(OR(Begegnungen!$I285=C14,Begegnungen!$I$278=C14,Begegnungen!$I$279=C14,Begegnungen!$I$280=C14,Begegnungen!$I$281=C14,Begegnungen!$I$282=C14,Begegnungen!$I$283=C14),Begegnungen!$I$287,IF(OR(Begegnungen!$K$277=C14,Begegnungen!$K$278=C14,Begegnungen!$K$279=C14,Begegnungen!$K$280=C14,Begegnungen!$K$281=C14,Begegnungen!$K$282=C14,Begegnungen!$K$283=C14),Begegnungen!$K$287,""))</f>
        <v/>
      </c>
      <c r="AN14" s="66" t="str">
        <f>IF(OR(Begegnungen!$C301=C14,Begegnungen!$C$294=C14,Begegnungen!$C$295=C14,Begegnungen!$C$296=C14,Begegnungen!$C$297=C14,Begegnungen!$C$298=C14,Begegnungen!$C$299=C14),Begegnungen!$C$303,IF(OR(Begegnungen!$E$293=C14,Begegnungen!$E$294=C14,Begegnungen!$E$295=C14,Begegnungen!$E$296=C14,Begegnungen!$E$297=C14,Begegnungen!$E$298=C14,Begegnungen!$E$299=C14),Begegnungen!$E$303,""))</f>
        <v/>
      </c>
      <c r="AO14" s="136" t="str">
        <f>IF(OR(Begegnungen!$I301=C14,Begegnungen!$I$294=C14,Begegnungen!$I$295=C14,Begegnungen!$I$296=C14,Begegnungen!$I$297=C14,Begegnungen!$I$298=C14,Begegnungen!$I$299=C14),Begegnungen!$I$303,IF(OR(Begegnungen!$K$293=C14,Begegnungen!$K$294=C14,Begegnungen!$K$295=C14,Begegnungen!$K$296=C14,Begegnungen!$K$297=C14,Begegnungen!$K$298=C14,Begegnungen!$K$299=C14),Begegnungen!$K$303,""))</f>
        <v/>
      </c>
      <c r="AP14" s="136" t="str">
        <f>IF(OR(Begegnungen!$C317=C14,Begegnungen!$C$310=C14,Begegnungen!$C$311=C14,Begegnungen!$C$312=C14,Begegnungen!$C$313=C14,Begegnungen!$C$314=C14,Begegnungen!$C$315=C14),Begegnungen!$C$319,IF(OR(Begegnungen!$E$309=C14,Begegnungen!$E$310=C14,Begegnungen!$E$311=C14,Begegnungen!$E$312=C14,Begegnungen!$E$313=C14,Begegnungen!$E$314=C14,Begegnungen!$E$315=C14),Begegnungen!$E$319,""))</f>
        <v/>
      </c>
      <c r="AQ14" s="66" t="str">
        <f>IF(OR(Begegnungen!$I317=C14,Begegnungen!$I$310=C14,Begegnungen!$I$311=C14,Begegnungen!$I$312=C14,Begegnungen!$I$313=C14,Begegnungen!$I$314=C14,Begegnungen!$I$315=C14),Begegnungen!$I$319,IF(OR(Begegnungen!$K$309=C14,Begegnungen!$K$310=C14,Begegnungen!$K$311=C14,Begegnungen!$K$312=C14,Begegnungen!$K$313=C14,Begegnungen!$K$314=C14,Begegnungen!$K$315=C14),Begegnungen!$K$319,""))</f>
        <v/>
      </c>
      <c r="AR14" s="25">
        <f t="shared" si="0"/>
        <v>0</v>
      </c>
      <c r="AS14" s="139">
        <f>Spiele!AS14</f>
        <v>0</v>
      </c>
      <c r="AT14" s="140" t="e">
        <f t="shared" si="1"/>
        <v>#DIV/0!</v>
      </c>
    </row>
    <row r="15" spans="2:46" x14ac:dyDescent="0.25">
      <c r="B15" s="4">
        <v>10</v>
      </c>
      <c r="C15" s="146" t="s">
        <v>16</v>
      </c>
      <c r="D15" s="148" t="str">
        <f>IF(OR(Begegnungen!$C$3=C15,Begegnungen!$C$4=C15,Begegnungen!$C$5=C15,Begegnungen!$C$6=C15,Begegnungen!$C$7=C15,Begegnungen!$C$8=C15,Begegnungen!$C$9=C15),Begegnungen!$C$13,IF(OR(Begegnungen!$E$3=C15,Begegnungen!$E$4=C15,Begegnungen!$E$5=C15,Begegnungen!$E$6=C15,Begegnungen!$E$7=C15,Begegnungen!$E$8=C15,Begegnungen!$E$9=C15),Begegnungen!$E$13,""))</f>
        <v/>
      </c>
      <c r="E15" s="66" t="str">
        <f>IF(OR(Begegnungen!$I$3=C15,Begegnungen!$I$4=C15,Begegnungen!$I$5=C15,Begegnungen!$I$6=C15,Begegnungen!$I$7=C15,Begegnungen!$I$8=C15,Begegnungen!$I$9=C15),Begegnungen!$I$13,IF(OR(Begegnungen!$K$3=C15,Begegnungen!$K$4=C15,Begegnungen!$K$5=C15,Begegnungen!$K$6=C15,Begegnungen!$K$7=C15,Begegnungen!$K$8=C15,Begegnungen!$K$9=C15),Begegnungen!$K$13,""))</f>
        <v/>
      </c>
      <c r="F15" s="66" t="str">
        <f>IF(OR(Begegnungen!$C$19=C15,Begegnungen!$C$20=C15,Begegnungen!$C$21=C15,Begegnungen!$C$22=C15,Begegnungen!$C$23=C15,Begegnungen!$C$24=C15,Begegnungen!$C$25=C15),Begegnungen!$C$29,IF(OR(Begegnungen!$E$19=C15,Begegnungen!$E$20=C15,Begegnungen!$E$21=C15,Begegnungen!$E$22=C15,Begegnungen!$E$23=C15,Begegnungen!$E$24=C15,Begegnungen!$E$25=C15),Begegnungen!$E$29,""))</f>
        <v/>
      </c>
      <c r="G15" s="66" t="str">
        <f>IF(OR(Begegnungen!$I$19=C15,Begegnungen!$I$20=C15,Begegnungen!$I$21=C15,Begegnungen!$I$22=C15,Begegnungen!$I$23=C15,Begegnungen!$I$24=C15,Begegnungen!$I$25=C15),Begegnungen!$I$29,IF(OR(Begegnungen!$K$19=C15,Begegnungen!$K$20=C15,Begegnungen!$K$21=C15,Begegnungen!$K$22=C15,Begegnungen!$K$23=C15,Begegnungen!$K$24=C15,Begegnungen!$K$25=C15),Begegnungen!$K$29,""))</f>
        <v/>
      </c>
      <c r="H15" s="66" t="str">
        <f>IF(OR(Begegnungen!$C$35=C15,Begegnungen!$C$36=C15,Begegnungen!$C$37=C15,Begegnungen!$C$38=C15,Begegnungen!$C$39=C15,Begegnungen!$C$40=C15,Begegnungen!$C$41=C15),Begegnungen!$C$46,IF(OR(Begegnungen!$E$35=C15,Begegnungen!$E$36=C15,Begegnungen!$E$37=C15,Begegnungen!$E$38=C15,Begegnungen!$E$39=C15,Begegnungen!$E$40=C15,Begegnungen!$E$41=C15),Begegnungen!$E$46,""))</f>
        <v/>
      </c>
      <c r="I15" s="66" t="str">
        <f>IF(OR(Begegnungen!$I$35=C15,Begegnungen!$I$36=C15,Begegnungen!$I$37=C15,Begegnungen!$I$38=C15,Begegnungen!$I$39=C15,Begegnungen!$I$40=C15,Begegnungen!$I$41=C15),Begegnungen!$I$46,IF(OR(Begegnungen!$K$35=C15,Begegnungen!$K$36=C15,Begegnungen!$K$37=C15,Begegnungen!$K$38=C15,Begegnungen!$K$39=C15,Begegnungen!$K$40=C15,Begegnungen!$K$41=C15),Begegnungen!$K$46,""))</f>
        <v/>
      </c>
      <c r="J15" s="136">
        <f>IF(OR(Begegnungen!$C$52=C15,Begegnungen!$C$53=C15,Begegnungen!$C$54=C15,Begegnungen!$C$55=C15,Begegnungen!$C$56=C15,Begegnungen!$C$57=C15,Begegnungen!$C$58=C15),Begegnungen!$C$62,IF(OR(Begegnungen!$E$52=C15,Begegnungen!$E$53=C15,Begegnungen!$E$54=C15,Begegnungen!$E$55=C15,Begegnungen!$E$56=C15,Begegnungen!$E$57=C15,Begegnungen!$E$58=C15),Begegnungen!$E$62,""))</f>
        <v>2</v>
      </c>
      <c r="K15" s="66">
        <f>IF(OR(Begegnungen!$I$52=C15,Begegnungen!$I$53=C15,Begegnungen!$I$54=C15,Begegnungen!$I$55=C15,Begegnungen!$I$56=C15,Begegnungen!$I$57=C15,Begegnungen!$I$58=C15),Begegnungen!$I$62,IF(OR(Begegnungen!$K$52=C15,Begegnungen!$K$53=C15,Begegnungen!$K$54=C15,Begegnungen!$K$55=C15,Begegnungen!$K$56=C15,Begegnungen!$K$57=C15,Begegnungen!$K$58=C15),Begegnungen!$K$62,""))</f>
        <v>1</v>
      </c>
      <c r="L15" s="136" t="str">
        <f>IF(OR(Begegnungen!$C77=C15,Begegnungen!$C$69=C15,Begegnungen!$C$70=C15,Begegnungen!$C$71=C15,Begegnungen!$C$72=C15,Begegnungen!$C$73=C15,Begegnungen!$C$74=C15),Begegnungen!$C$78,IF(OR(Begegnungen!$E$68=C15,Begegnungen!$E$69=C15,Begegnungen!$E$70=C15,Begegnungen!$E$71=C15,Begegnungen!$E$72=C15,Begegnungen!$E$73=C15,Begegnungen!$E$74=C15),Begegnungen!$E$78,""))</f>
        <v/>
      </c>
      <c r="M15" s="66">
        <f>IF(OR(Begegnungen!$I77=C15,Begegnungen!$I$69=C15,Begegnungen!$I$70=C15,Begegnungen!$I$71=C15,Begegnungen!$I$72=C15,Begegnungen!$I$73=C15,Begegnungen!$I$74=C15),Begegnungen!$I$78,IF(OR(Begegnungen!$K$68=C15,Begegnungen!$K$69=C15,Begegnungen!$K$70=C15,Begegnungen!$K$71=C15,Begegnungen!$K$72=C15,Begegnungen!$K$73=C15,Begegnungen!$K$74=C15),Begegnungen!$K$78,""))</f>
        <v>0</v>
      </c>
      <c r="N15" s="66">
        <f>IF(OR(Begegnungen!$C94=C15,Begegnungen!$C$85=C15,Begegnungen!$C$86=C15,Begegnungen!$C$87=C15,Begegnungen!$C$88=C15,Begegnungen!$C$89=C15,Begegnungen!$C$90=C15),Begegnungen!$C$95,IF(OR(Begegnungen!$E$84=C15,Begegnungen!$E$85=C15,Begegnungen!$E$86=C15,Begegnungen!$E$87=C15,Begegnungen!$E$88=C15,Begegnungen!$E$89=C15,Begegnungen!$E$90=C15),Begegnungen!$E$95,""))</f>
        <v>1</v>
      </c>
      <c r="O15" s="66">
        <f>IF(OR(Begegnungen!$I94=C15,Begegnungen!$I$85=C15,Begegnungen!$I$86=C15,Begegnungen!$I$87=C15,Begegnungen!$I$88=C15,Begegnungen!$I$89=C15,Begegnungen!$I$90=C15),Begegnungen!$I$95,IF(OR(Begegnungen!$K$84=C15,Begegnungen!$K$85=C15,Begegnungen!$K$86=C15,Begegnungen!$K$87=C15,Begegnungen!$K$88=C15,Begegnungen!$K$89=C15,Begegnungen!$K$90=C15),Begegnungen!$K$95,""))</f>
        <v>1</v>
      </c>
      <c r="P15" s="66">
        <f>IF(OR(Begegnungen!$C110=C15,Begegnungen!$C$102=C15,Begegnungen!$C$103=C15,Begegnungen!$C$104=C15,Begegnungen!$C$105=C15,Begegnungen!$C$106=C15,Begegnungen!$C$107=C15),Begegnungen!$C$111,IF(OR(Begegnungen!$E$101=C15,Begegnungen!$E$102=C15,Begegnungen!$E$103=C15,Begegnungen!$E$104=C15,Begegnungen!$E$105=C15,Begegnungen!$E$106=C15,Begegnungen!$E$107=C15),Begegnungen!$E$111,""))</f>
        <v>2</v>
      </c>
      <c r="Q15" s="66">
        <f>IF(OR(Begegnungen!$I110=C15,Begegnungen!$I$102=C15,Begegnungen!$I$103=C15,Begegnungen!$I$104=C15,Begegnungen!$I$105=C15,Begegnungen!$I$106=C15,Begegnungen!$I$107=C15),Begegnungen!$I$111,IF(OR(Begegnungen!$K$101=C15,Begegnungen!$K$102=C15,Begegnungen!$K$103=C15,Begegnungen!$K$104=C15,Begegnungen!$K$105=C15,Begegnungen!$K$106=C15,Begegnungen!$K$107=C15),Begegnungen!$K$111,""))</f>
        <v>0</v>
      </c>
      <c r="R15" s="136">
        <f>IF(OR(Begegnungen!$C126=C15,Begegnungen!$C$118=C15,Begegnungen!$C$119=C15,Begegnungen!$C$120=C15,Begegnungen!$C$121=C15,Begegnungen!$C$122=C15,Begegnungen!$C$123=C15),Begegnungen!$C$127,IF(OR(Begegnungen!$E$117=C15,Begegnungen!$E$118=C15,Begegnungen!$E$119=C15,Begegnungen!$E$120=C15,Begegnungen!$E$121=C15,Begegnungen!$E$122=C15,Begegnungen!$E$123=C15),Begegnungen!$E$127,""))</f>
        <v>1</v>
      </c>
      <c r="S15" s="66">
        <f>IF(OR(Begegnungen!$I$117=C15,Begegnungen!$I$118=C15,Begegnungen!$I$119=C15,Begegnungen!$I$120=C15,Begegnungen!$I$121=C15,Begegnungen!$I$122=C15,Begegnungen!$I$123=C15),Begegnungen!$I$127,IF(OR(Begegnungen!$K$117=C15,Begegnungen!$K$118=C15,Begegnungen!$K$119=C15,Begegnungen!$K$120=C15,Begegnungen!$K$121=C15,Begegnungen!$K$122=C15,Begegnungen!$K$123=C15),Begegnungen!$K$127,""))</f>
        <v>4</v>
      </c>
      <c r="T15" s="66">
        <f>IF(OR(Begegnungen!$C142=C15,Begegnungen!$C$134=C15,Begegnungen!$C$135=C15,Begegnungen!$C$136=C15,Begegnungen!$C$137=C15,Begegnungen!$C$138=C15,Begegnungen!$C$139=C15),Begegnungen!$C$143,IF(OR(Begegnungen!$E$133=C15,Begegnungen!$E$134=C15,Begegnungen!$E$135=C15,Begegnungen!$E$136=C15,Begegnungen!$E$137=C15,Begegnungen!$E$138=C15,Begegnungen!$E$139=C15),Begegnungen!$E$143,""))</f>
        <v>2</v>
      </c>
      <c r="U15" s="66">
        <f>IF(OR(Begegnungen!$I142=C15,Begegnungen!$I$134=C15,Begegnungen!$I$135=C15,Begegnungen!$I$136=C15,Begegnungen!$I$137=C15,Begegnungen!$I$138=C15,Begegnungen!$I$139=C15),Begegnungen!$I$143,IF(OR(Begegnungen!$K$133=C15,Begegnungen!$K$134=C15,Begegnungen!$K$135=C15,Begegnungen!$K$136=C15,Begegnungen!$K$137=C15,Begegnungen!$K$138=C15,Begegnungen!$K$139=C15),Begegnungen!$K$143,""))</f>
        <v>2</v>
      </c>
      <c r="V15" s="66">
        <f>IF(OR(Begegnungen!$C158=C15,Begegnungen!$C$150=C15,Begegnungen!$C$151=C15,Begegnungen!$C$152=C15,Begegnungen!$C$153=C15,Begegnungen!$C$154=C15,Begegnungen!$C$155=C15),Begegnungen!$C$159,IF(OR(Begegnungen!$E$149=C15,Begegnungen!$E$150=C15,Begegnungen!$E$151=C15,Begegnungen!$E$152=C15,Begegnungen!$E$153=C15,Begegnungen!$E$154=C15,Begegnungen!$E$155=C15),Begegnungen!$E$159,""))</f>
        <v>0</v>
      </c>
      <c r="W15" s="66" t="str">
        <f>IF(OR(Begegnungen!$I158=C15,Begegnungen!$I$150=C15,Begegnungen!$I$151=C15,Begegnungen!$I$152=C15,Begegnungen!$I$153=C15,Begegnungen!$I$154=C15,Begegnungen!$I$155=C15),Begegnungen!$I$159,IF(OR(Begegnungen!$K$149=C15,Begegnungen!$K$150=C15,Begegnungen!$K$151=C15,Begegnungen!$K$152=C15,Begegnungen!$K$153=C15,Begegnungen!$K$154=C15,Begegnungen!$K$155=C15),Begegnungen!$K$159,""))</f>
        <v/>
      </c>
      <c r="X15" s="66">
        <f>IF(OR(Begegnungen!$C174=C15,Begegnungen!$C$166=C15,Begegnungen!$C$167=C15,Begegnungen!$C$168=C15,Begegnungen!$C$169=C15,Begegnungen!$C$170=C15,Begegnungen!$C$171=C15),Begegnungen!$C$175,IF(OR(Begegnungen!$E$165=C15,Begegnungen!$E$166=C15,Begegnungen!$E$167=C15,Begegnungen!$E$168=C15,Begegnungen!$E$169=C15,Begegnungen!$E$170=C15,Begegnungen!$E$171=C15),Begegnungen!$E$175,""))</f>
        <v>7</v>
      </c>
      <c r="Y15" s="66">
        <f>IF(OR(Begegnungen!$I174=C15,Begegnungen!$I$166=C15,Begegnungen!$I$167=C15,Begegnungen!$I$168=C15,Begegnungen!$I$169=C15,Begegnungen!$I$170=C15,Begegnungen!$I$171=C15),Begegnungen!$I$175,IF(OR(Begegnungen!$K$165=C15,Begegnungen!$K$166=C15,Begegnungen!$K$167=C15,Begegnungen!$K$168=C15,Begegnungen!$K$169=C15,Begegnungen!$K$170=C15,Begegnungen!$K$171=C15),Begegnungen!$K$175,""))</f>
        <v>4</v>
      </c>
      <c r="Z15" s="66" t="str">
        <f>IF(OR(Begegnungen!$C190=C15,Begegnungen!$C$182=C15,Begegnungen!$C$183=C15,Begegnungen!$C$184=C15,Begegnungen!$C$185=C15,Begegnungen!$C$186=C15,Begegnungen!$C$187=C15),Begegnungen!$C$191,IF(OR(Begegnungen!$E$181=C15,Begegnungen!$E$182=C15,Begegnungen!$E$183=C15,Begegnungen!$E$184=C15,Begegnungen!$E$185=C15,Begegnungen!$E$186=C15,Begegnungen!$E$187=C15),Begegnungen!$E$191,""))</f>
        <v/>
      </c>
      <c r="AA15" s="66" t="str">
        <f>IF(OR(Begegnungen!$I190=C15,Begegnungen!$I$182=C15,Begegnungen!$I$183=C15,Begegnungen!$I$184=C15,Begegnungen!$I$185=C15,Begegnungen!$I$186=C15,Begegnungen!$I$187=C15),Begegnungen!$I$191,IF(OR(Begegnungen!$K$181=C15,Begegnungen!$K$182=C15,Begegnungen!$K$183=C15,Begegnungen!$K$184=C15,Begegnungen!$K$185=C15,Begegnungen!$K$186=C15,Begegnungen!$K$187=C15),Begegnungen!$K$191,""))</f>
        <v/>
      </c>
      <c r="AB15" s="66">
        <f>IF(OR(Begegnungen!$C206=C15,Begegnungen!$C$198=C15,Begegnungen!$C$199=C15,Begegnungen!$C$200=C15,Begegnungen!$C$201=C15,Begegnungen!$C$202=C15,Begegnungen!$C$203=C15),Begegnungen!$C$207,IF(OR(Begegnungen!$E$197=C15,Begegnungen!$E$198=C15,Begegnungen!$E$199=C15,Begegnungen!$E$200=C15,Begegnungen!$E$201=C15,Begegnungen!$E$202=C15,Begegnungen!$E$203=C15),Begegnungen!$E$207,""))</f>
        <v>3</v>
      </c>
      <c r="AC15" s="66">
        <f>IF(OR(Begegnungen!$I206=C15,Begegnungen!$I$198=C15,Begegnungen!$I$199=C15,Begegnungen!$I$200=C15,Begegnungen!$I$201=C15,Begegnungen!$I$202=C15,Begegnungen!$I$203=C15),Begegnungen!$I$207,IF(OR(Begegnungen!$K$197=C15,Begegnungen!$K$198=C15,Begegnungen!$K$199=C15,Begegnungen!$K$200=C15,Begegnungen!$K$201=C15,Begegnungen!$K$202=C15,Begegnungen!$K$203=C15),Begegnungen!$K$207,""))</f>
        <v>2</v>
      </c>
      <c r="AD15" s="66">
        <f>IF(OR(Begegnungen!$C222=C15,Begegnungen!$C$214=C15,Begegnungen!$C$215=C15,Begegnungen!$C$216=C15,Begegnungen!$C$217=C15,Begegnungen!$C$218=C15,Begegnungen!$C$219=C15),Begegnungen!$C$223,IF(OR(Begegnungen!$E$213=C15,Begegnungen!$E$214=C15,Begegnungen!$E$215=C15,Begegnungen!$E$216=C15,Begegnungen!$E$217=C15,Begegnungen!$E$218=C15,Begegnungen!$E$219=C15),Begegnungen!$E$223,""))</f>
        <v>3</v>
      </c>
      <c r="AE15" s="66">
        <f>IF(OR(Begegnungen!$I222=C15,Begegnungen!$I$214=C15,Begegnungen!$I$215=C15,Begegnungen!$I$216=C15,Begegnungen!$I$217=C15,Begegnungen!$I$218=C15,Begegnungen!$I$219=C15),Begegnungen!$I$223,IF(OR(Begegnungen!$K$213=C15,Begegnungen!$K$214=C15,Begegnungen!$K$215=C15,Begegnungen!$K$216=C15,Begegnungen!$K$217=C15,Begegnungen!$K$218=C15,Begegnungen!$K$219=C15),Begegnungen!$K$223,""))</f>
        <v>5</v>
      </c>
      <c r="AF15" s="136">
        <f>IF(OR(Begegnungen!$C238=C15,Begegnungen!$C$230=C15,Begegnungen!$C$231=C15,Begegnungen!$C$232=C15,Begegnungen!$C$233=C15,Begegnungen!$C$234=C15,Begegnungen!$C$235=C15),Begegnungen!$C$239,IF(OR(Begegnungen!$E$229=C15,Begegnungen!$E$230=C15,Begegnungen!$E$231=C15,Begegnungen!$E$232=C15,Begegnungen!$E$233=C15,Begegnungen!$E$234=C15,Begegnungen!$E$235=C15),Begegnungen!$E$239,""))</f>
        <v>4</v>
      </c>
      <c r="AG15" s="66" t="str">
        <f>IF(OR(Begegnungen!$I238=C15,Begegnungen!$I$230=C15,Begegnungen!$I$231=C15,Begegnungen!$I$232=C15,Begegnungen!$I$233=C15,Begegnungen!$I$234=C15,Begegnungen!$I$235=C15),Begegnungen!$I$239,IF(OR(Begegnungen!$K$229=C15,Begegnungen!$K$230=C15,Begegnungen!$K$231=C15,Begegnungen!$K$232=C15,Begegnungen!$K$233=C15,Begegnungen!$K$234=C15,Begegnungen!$K$235=C15),Begegnungen!$K$239,""))</f>
        <v/>
      </c>
      <c r="AH15" s="66">
        <f>IF(OR(Begegnungen!$C254=C15,Begegnungen!$C$246=C15,Begegnungen!$C$247=C15,Begegnungen!$C$248=C15,Begegnungen!$C$249=C15,Begegnungen!$C$250=C15,Begegnungen!$C$251=C15),Begegnungen!$C$255,IF(OR(Begegnungen!$E$245=C15,Begegnungen!$E$246=C15,Begegnungen!$E$247=C15,Begegnungen!$E$248=C15,Begegnungen!$E$249=C15,Begegnungen!$E$250=C15,Begegnungen!$E$251=C15),Begegnungen!$E$255,""))</f>
        <v>4</v>
      </c>
      <c r="AI15" s="66">
        <f>IF(OR(Begegnungen!$I254=C15,Begegnungen!$I$246=C15,Begegnungen!$I$247=C15,Begegnungen!$I$248=C15,Begegnungen!$I$249=C15,Begegnungen!$I$250=C15,Begegnungen!$I$251=C15),Begegnungen!$I$255,IF(OR(Begegnungen!$K$245=C15,Begegnungen!$K$246=C15,Begegnungen!$K$247=C15,Begegnungen!$K$248=C15,Begegnungen!$K$249=C15,Begegnungen!$K$250=C15,Begegnungen!$K$251=C15),Begegnungen!$K$255,""))</f>
        <v>1</v>
      </c>
      <c r="AJ15" s="66" t="str">
        <f>IF(OR(Begegnungen!$C270=C15,Begegnungen!$C$262=C15,Begegnungen!$C$263=C15,Begegnungen!$C$264=C15,Begegnungen!$C$265=C15,Begegnungen!$C$266=C15,Begegnungen!$C$267=C15),Begegnungen!$C$271,IF(OR(Begegnungen!$E$261=C15,Begegnungen!$E$262=C15,Begegnungen!$E$263=C15,Begegnungen!$E$264=C15,Begegnungen!$E$265=C15,Begegnungen!$E$266=C15,Begegnungen!$E$267=C15),Begegnungen!$E$271,""))</f>
        <v/>
      </c>
      <c r="AK15" s="66" t="str">
        <f>IF(OR(Begegnungen!$I270=C15,Begegnungen!$I$262=C15,Begegnungen!$I$263=C15,Begegnungen!$I$264=C15,Begegnungen!$I$265=C15,Begegnungen!$I$266=C15,Begegnungen!$I$267=C15),Begegnungen!$I$271,IF(OR(Begegnungen!$K$261=C15,Begegnungen!$K$262=C15,Begegnungen!$K$263=C15,Begegnungen!$K$264=C15,Begegnungen!$K$265=C15,Begegnungen!$K$266=C15,Begegnungen!$K$267=C15),Begegnungen!$K$271,""))</f>
        <v/>
      </c>
      <c r="AL15" s="66" t="str">
        <f>IF(OR(Begegnungen!$C286=C15,Begegnungen!$C$278=C15,Begegnungen!$C$279=C15,Begegnungen!$C$280=C15,Begegnungen!$C$281=C15,Begegnungen!$C$282=C15,Begegnungen!$C$283=C15),Begegnungen!$C$287,IF(OR(Begegnungen!$E$277=C15,Begegnungen!$E$278=C15,Begegnungen!$E$279=C15,Begegnungen!$E$280=C15,Begegnungen!$E$281=C15,Begegnungen!$E$282=C15,Begegnungen!$E$283=C15),Begegnungen!$E$287,""))</f>
        <v/>
      </c>
      <c r="AM15" s="136" t="str">
        <f>IF(OR(Begegnungen!$I286=C15,Begegnungen!$I$278=C15,Begegnungen!$I$279=C15,Begegnungen!$I$280=C15,Begegnungen!$I$281=C15,Begegnungen!$I$282=C15,Begegnungen!$I$283=C15),Begegnungen!$I$287,IF(OR(Begegnungen!$K$277=C15,Begegnungen!$K$278=C15,Begegnungen!$K$279=C15,Begegnungen!$K$280=C15,Begegnungen!$K$281=C15,Begegnungen!$K$282=C15,Begegnungen!$K$283=C15),Begegnungen!$K$287,""))</f>
        <v/>
      </c>
      <c r="AN15" s="66" t="str">
        <f>IF(OR(Begegnungen!$C302=C15,Begegnungen!$C$294=C15,Begegnungen!$C$295=C15,Begegnungen!$C$296=C15,Begegnungen!$C$297=C15,Begegnungen!$C$298=C15,Begegnungen!$C$299=C15),Begegnungen!$C$303,IF(OR(Begegnungen!$E$293=C15,Begegnungen!$E$294=C15,Begegnungen!$E$295=C15,Begegnungen!$E$296=C15,Begegnungen!$E$297=C15,Begegnungen!$E$298=C15,Begegnungen!$E$299=C15),Begegnungen!$E$303,""))</f>
        <v/>
      </c>
      <c r="AO15" s="136" t="str">
        <f>IF(OR(Begegnungen!$I302=C15,Begegnungen!$I$294=C15,Begegnungen!$I$295=C15,Begegnungen!$I$296=C15,Begegnungen!$I$297=C15,Begegnungen!$I$298=C15,Begegnungen!$I$299=C15),Begegnungen!$I$303,IF(OR(Begegnungen!$K$293=C15,Begegnungen!$K$294=C15,Begegnungen!$K$295=C15,Begegnungen!$K$296=C15,Begegnungen!$K$297=C15,Begegnungen!$K$298=C15,Begegnungen!$K$299=C15),Begegnungen!$K$303,""))</f>
        <v/>
      </c>
      <c r="AP15" s="136" t="str">
        <f>IF(OR(Begegnungen!$C318=C15,Begegnungen!$C$310=C15,Begegnungen!$C$311=C15,Begegnungen!$C$312=C15,Begegnungen!$C$313=C15,Begegnungen!$C$314=C15,Begegnungen!$C$315=C15),Begegnungen!$C$319,IF(OR(Begegnungen!$E$309=C15,Begegnungen!$E$310=C15,Begegnungen!$E$311=C15,Begegnungen!$E$312=C15,Begegnungen!$E$313=C15,Begegnungen!$E$314=C15,Begegnungen!$E$315=C15),Begegnungen!$E$319,""))</f>
        <v/>
      </c>
      <c r="AQ15" s="66" t="str">
        <f>IF(OR(Begegnungen!$I318=C15,Begegnungen!$I$310=C15,Begegnungen!$I$311=C15,Begegnungen!$I$312=C15,Begegnungen!$I$313=C15,Begegnungen!$I$314=C15,Begegnungen!$I$315=C15),Begegnungen!$I$319,IF(OR(Begegnungen!$K$309=C15,Begegnungen!$K$310=C15,Begegnungen!$K$311=C15,Begegnungen!$K$312=C15,Begegnungen!$K$313=C15,Begegnungen!$K$314=C15,Begegnungen!$K$315=C15),Begegnungen!$K$319,""))</f>
        <v/>
      </c>
      <c r="AR15" s="25">
        <f t="shared" si="0"/>
        <v>49</v>
      </c>
      <c r="AS15" s="139">
        <f>Spiele!AS15</f>
        <v>21</v>
      </c>
      <c r="AT15" s="140">
        <f t="shared" si="1"/>
        <v>2.3333333333333335</v>
      </c>
    </row>
    <row r="16" spans="2:46" x14ac:dyDescent="0.25">
      <c r="B16" s="4">
        <v>11</v>
      </c>
      <c r="C16" s="146" t="s">
        <v>13</v>
      </c>
      <c r="D16" s="148">
        <f>IF(OR(Begegnungen!$C$3=C16,Begegnungen!$C$4=C16,Begegnungen!$C$5=C16,Begegnungen!$C$6=C16,Begegnungen!$C$7=C16,Begegnungen!$C$8=C16,Begegnungen!$C$9=C16),Begegnungen!$C$13,IF(OR(Begegnungen!$E$3=C16,Begegnungen!$E$4=C16,Begegnungen!$E$5=C16,Begegnungen!$E$6=C16,Begegnungen!$E$7=C16,Begegnungen!$E$8=C16,Begegnungen!$E$9=C16),Begegnungen!$E$13,""))</f>
        <v>2</v>
      </c>
      <c r="E16" s="66">
        <f>IF(OR(Begegnungen!$I$3=C16,Begegnungen!$I$4=C16,Begegnungen!$I$5=C16,Begegnungen!$I$6=C16,Begegnungen!$I$7=C16,Begegnungen!$I$8=C16,Begegnungen!$I$9=C16),Begegnungen!$I$13,IF(OR(Begegnungen!$K$3=C16,Begegnungen!$K$4=C16,Begegnungen!$K$5=C16,Begegnungen!$K$6=C16,Begegnungen!$K$7=C16,Begegnungen!$K$8=C16,Begegnungen!$K$9=C16),Begegnungen!$K$13,""))</f>
        <v>0</v>
      </c>
      <c r="F16" s="66">
        <f>IF(OR(Begegnungen!$C$19=C16,Begegnungen!$C$20=C16,Begegnungen!$C$21=C16,Begegnungen!$C$22=C16,Begegnungen!$C$23=C16,Begegnungen!$C$24=C16,Begegnungen!$C$25=C16),Begegnungen!$C$29,IF(OR(Begegnungen!$E$19=C16,Begegnungen!$E$20=C16,Begegnungen!$E$21=C16,Begegnungen!$E$22=C16,Begegnungen!$E$23=C16,Begegnungen!$E$24=C16,Begegnungen!$E$25=C16),Begegnungen!$E$29,""))</f>
        <v>6</v>
      </c>
      <c r="G16" s="66">
        <f>IF(OR(Begegnungen!$I$19=C16,Begegnungen!$I$20=C16,Begegnungen!$I$21=C16,Begegnungen!$I$22=C16,Begegnungen!$I$23=C16,Begegnungen!$I$24=C16,Begegnungen!$I$25=C16),Begegnungen!$I$29,IF(OR(Begegnungen!$K$19=C16,Begegnungen!$K$20=C16,Begegnungen!$K$21=C16,Begegnungen!$K$22=C16,Begegnungen!$K$23=C16,Begegnungen!$K$24=C16,Begegnungen!$K$25=C16),Begegnungen!$K$29,""))</f>
        <v>3</v>
      </c>
      <c r="H16" s="66">
        <f>IF(OR(Begegnungen!$C$35=C16,Begegnungen!$C$36=C16,Begegnungen!$C$37=C16,Begegnungen!$C$38=C16,Begegnungen!$C$39=C16,Begegnungen!$C$40=C16,Begegnungen!$C$41=C16),Begegnungen!$C$46,IF(OR(Begegnungen!$E$35=C16,Begegnungen!$E$36=C16,Begegnungen!$E$37=C16,Begegnungen!$E$38=C16,Begegnungen!$E$39=C16,Begegnungen!$E$40=C16,Begegnungen!$E$41=C16),Begegnungen!$E$46,""))</f>
        <v>6</v>
      </c>
      <c r="I16" s="66">
        <f>IF(OR(Begegnungen!$I$35=C16,Begegnungen!$I$36=C16,Begegnungen!$I$37=C16,Begegnungen!$I$38=C16,Begegnungen!$I$39=C16,Begegnungen!$I$40=C16,Begegnungen!$I$41=C16),Begegnungen!$I$46,IF(OR(Begegnungen!$K$35=C16,Begegnungen!$K$36=C16,Begegnungen!$K$37=C16,Begegnungen!$K$38=C16,Begegnungen!$K$39=C16,Begegnungen!$K$40=C16,Begegnungen!$K$41=C16),Begegnungen!$K$46,""))</f>
        <v>3</v>
      </c>
      <c r="J16" s="136">
        <f>IF(OR(Begegnungen!$C$52=C16,Begegnungen!$C$53=C16,Begegnungen!$C$54=C16,Begegnungen!$C$55=C16,Begegnungen!$C$56=C16,Begegnungen!$C$57=C16,Begegnungen!$C$58=C16),Begegnungen!$C$62,IF(OR(Begegnungen!$E$52=C16,Begegnungen!$E$53=C16,Begegnungen!$E$54=C16,Begegnungen!$E$55=C16,Begegnungen!$E$56=C16,Begegnungen!$E$57=C16,Begegnungen!$E$58=C16),Begegnungen!$E$62,""))</f>
        <v>3</v>
      </c>
      <c r="K16" s="66">
        <f>IF(OR(Begegnungen!$I$52=C16,Begegnungen!$I$53=C16,Begegnungen!$I$54=C16,Begegnungen!$I$55=C16,Begegnungen!$I$56=C16,Begegnungen!$I$57=C16,Begegnungen!$I$58=C16),Begegnungen!$I$62,IF(OR(Begegnungen!$K$52=C16,Begegnungen!$K$53=C16,Begegnungen!$K$54=C16,Begegnungen!$K$55=C16,Begegnungen!$K$56=C16,Begegnungen!$K$57=C16,Begegnungen!$K$58=C16),Begegnungen!$K$62,""))</f>
        <v>4</v>
      </c>
      <c r="L16" s="136">
        <f>IF(OR(Begegnungen!$C78=C16,Begegnungen!$C$69=C16,Begegnungen!$C$70=C16,Begegnungen!$C$71=C16,Begegnungen!$C$72=C16,Begegnungen!$C$73=C16,Begegnungen!$C$74=C16),Begegnungen!$C$78,IF(OR(Begegnungen!$E$68=C16,Begegnungen!$E$69=C16,Begegnungen!$E$70=C16,Begegnungen!$E$71=C16,Begegnungen!$E$72=C16,Begegnungen!$E$73=C16,Begegnungen!$E$74=C16),Begegnungen!$E$78,""))</f>
        <v>3</v>
      </c>
      <c r="M16" s="66">
        <f>IF(OR(Begegnungen!$I78=C16,Begegnungen!$I$69=C16,Begegnungen!$I$70=C16,Begegnungen!$I$71=C16,Begegnungen!$I$72=C16,Begegnungen!$I$73=C16,Begegnungen!$I$74=C16),Begegnungen!$I$78,IF(OR(Begegnungen!$K$68=C16,Begegnungen!$K$69=C16,Begegnungen!$K$70=C16,Begegnungen!$K$71=C16,Begegnungen!$K$72=C16,Begegnungen!$K$73=C16,Begegnungen!$K$74=C16),Begegnungen!$K$78,""))</f>
        <v>0</v>
      </c>
      <c r="N16" s="66">
        <f>IF(OR(Begegnungen!$C95=C16,Begegnungen!$C$85=C16,Begegnungen!$C$86=C16,Begegnungen!$C$87=C16,Begegnungen!$C$88=C16,Begegnungen!$C$89=C16,Begegnungen!$C$90=C16),Begegnungen!$C$95,IF(OR(Begegnungen!$E$84=C16,Begegnungen!$E$85=C16,Begegnungen!$E$86=C16,Begegnungen!$E$87=C16,Begegnungen!$E$88=C16,Begegnungen!$E$89=C16,Begegnungen!$E$90=C16),Begegnungen!$E$95,""))</f>
        <v>3</v>
      </c>
      <c r="O16" s="66">
        <f>IF(OR(Begegnungen!$I95=C16,Begegnungen!$I$85=C16,Begegnungen!$I$86=C16,Begegnungen!$I$87=C16,Begegnungen!$I$88=C16,Begegnungen!$I$89=C16,Begegnungen!$I$90=C16),Begegnungen!$I$95,IF(OR(Begegnungen!$K$84=C16,Begegnungen!$K$85=C16,Begegnungen!$K$86=C16,Begegnungen!$K$87=C16,Begegnungen!$K$88=C16,Begegnungen!$K$89=C16,Begegnungen!$K$90=C16),Begegnungen!$K$95,""))</f>
        <v>1</v>
      </c>
      <c r="P16" s="66">
        <f>IF(OR(Begegnungen!$C111=C16,Begegnungen!$C$102=C16,Begegnungen!$C$103=C16,Begegnungen!$C$104=C16,Begegnungen!$C$105=C16,Begegnungen!$C$106=C16,Begegnungen!$C$107=C16),Begegnungen!$C$111,IF(OR(Begegnungen!$E$101=C16,Begegnungen!$E$102=C16,Begegnungen!$E$103=C16,Begegnungen!$E$104=C16,Begegnungen!$E$105=C16,Begegnungen!$E$106=C16,Begegnungen!$E$107=C16),Begegnungen!$E$111,""))</f>
        <v>2</v>
      </c>
      <c r="Q16" s="66">
        <f>IF(OR(Begegnungen!$I111=C16,Begegnungen!$I$102=C16,Begegnungen!$I$103=C16,Begegnungen!$I$104=C16,Begegnungen!$I$105=C16,Begegnungen!$I$106=C16,Begegnungen!$I$107=C16),Begegnungen!$I$111,IF(OR(Begegnungen!$K$101=C16,Begegnungen!$K$102=C16,Begegnungen!$K$103=C16,Begegnungen!$K$104=C16,Begegnungen!$K$105=C16,Begegnungen!$K$106=C16,Begegnungen!$K$107=C16),Begegnungen!$K$111,""))</f>
        <v>0</v>
      </c>
      <c r="R16" s="136">
        <f>IF(OR(Begegnungen!$C127=C16,Begegnungen!$C$118=C16,Begegnungen!$C$119=C16,Begegnungen!$C$120=C16,Begegnungen!$C$121=C16,Begegnungen!$C$122=C16,Begegnungen!$C$123=C16),Begegnungen!$C$127,IF(OR(Begegnungen!$E$117=C16,Begegnungen!$E$118=C16,Begegnungen!$E$119=C16,Begegnungen!$E$120=C16,Begegnungen!$E$121=C16,Begegnungen!$E$122=C16,Begegnungen!$E$123=C16),Begegnungen!$E$127,""))</f>
        <v>4</v>
      </c>
      <c r="S16" s="66">
        <f>IF(OR(Begegnungen!$I$117=C16,Begegnungen!$I$118=C16,Begegnungen!$I$119=C16,Begegnungen!$I$120=C16,Begegnungen!$I$121=C16,Begegnungen!$I$122=C16,Begegnungen!$I$123=C16),Begegnungen!$I$127,IF(OR(Begegnungen!$K$117=C16,Begegnungen!$K$118=C16,Begegnungen!$K$119=C16,Begegnungen!$K$120=C16,Begegnungen!$K$121=C16,Begegnungen!$K$122=C16,Begegnungen!$K$123=C16),Begegnungen!$K$127,""))</f>
        <v>4</v>
      </c>
      <c r="T16" s="66">
        <f>IF(OR(Begegnungen!$C143=C16,Begegnungen!$C$134=C16,Begegnungen!$C$135=C16,Begegnungen!$C$136=C16,Begegnungen!$C$137=C16,Begegnungen!$C$138=C16,Begegnungen!$C$139=C16),Begegnungen!$C$143,IF(OR(Begegnungen!$E$133=C16,Begegnungen!$E$134=C16,Begegnungen!$E$135=C16,Begegnungen!$E$136=C16,Begegnungen!$E$137=C16,Begegnungen!$E$138=C16,Begegnungen!$E$139=C16),Begegnungen!$E$143,""))</f>
        <v>2</v>
      </c>
      <c r="U16" s="66">
        <f>IF(OR(Begegnungen!$I143=C16,Begegnungen!$I$134=C16,Begegnungen!$I$135=C16,Begegnungen!$I$136=C16,Begegnungen!$I$137=C16,Begegnungen!$I$138=C16,Begegnungen!$I$139=C16),Begegnungen!$I$143,IF(OR(Begegnungen!$K$133=C16,Begegnungen!$K$134=C16,Begegnungen!$K$135=C16,Begegnungen!$K$136=C16,Begegnungen!$K$137=C16,Begegnungen!$K$138=C16,Begegnungen!$K$139=C16),Begegnungen!$K$143,""))</f>
        <v>2</v>
      </c>
      <c r="V16" s="66">
        <f>IF(OR(Begegnungen!$C159=C16,Begegnungen!$C$150=C16,Begegnungen!$C$151=C16,Begegnungen!$C$152=C16,Begegnungen!$C$153=C16,Begegnungen!$C$154=C16,Begegnungen!$C$155=C16),Begegnungen!$C$159,IF(OR(Begegnungen!$E$149=C16,Begegnungen!$E$150=C16,Begegnungen!$E$151=C16,Begegnungen!$E$152=C16,Begegnungen!$E$153=C16,Begegnungen!$E$154=C16,Begegnungen!$E$155=C16),Begegnungen!$E$159,""))</f>
        <v>0</v>
      </c>
      <c r="W16" s="66">
        <f>IF(OR(Begegnungen!$I159=C16,Begegnungen!$I$150=C16,Begegnungen!$I$151=C16,Begegnungen!$I$152=C16,Begegnungen!$I$153=C16,Begegnungen!$I$154=C16,Begegnungen!$I$155=C16),Begegnungen!$I$159,IF(OR(Begegnungen!$K$149=C16,Begegnungen!$K$150=C16,Begegnungen!$K$151=C16,Begegnungen!$K$152=C16,Begegnungen!$K$153=C16,Begegnungen!$K$154=C16,Begegnungen!$K$155=C16),Begegnungen!$K$159,""))</f>
        <v>10</v>
      </c>
      <c r="X16" s="66">
        <f>IF(OR(Begegnungen!$C175=C16,Begegnungen!$C$166=C16,Begegnungen!$C$167=C16,Begegnungen!$C$168=C16,Begegnungen!$C$169=C16,Begegnungen!$C$170=C16,Begegnungen!$C$171=C16),Begegnungen!$C$175,IF(OR(Begegnungen!$E$165=C16,Begegnungen!$E$166=C16,Begegnungen!$E$167=C16,Begegnungen!$E$168=C16,Begegnungen!$E$169=C16,Begegnungen!$E$170=C16,Begegnungen!$E$171=C16),Begegnungen!$E$175,""))</f>
        <v>7</v>
      </c>
      <c r="Y16" s="66">
        <f>IF(OR(Begegnungen!$I175=C16,Begegnungen!$I$166=C16,Begegnungen!$I$167=C16,Begegnungen!$I$168=C16,Begegnungen!$I$169=C16,Begegnungen!$I$170=C16,Begegnungen!$I$171=C16),Begegnungen!$I$175,IF(OR(Begegnungen!$K$165=C16,Begegnungen!$K$166=C16,Begegnungen!$K$167=C16,Begegnungen!$K$168=C16,Begegnungen!$K$169=C16,Begegnungen!$K$170=C16,Begegnungen!$K$171=C16),Begegnungen!$K$175,""))</f>
        <v>4</v>
      </c>
      <c r="Z16" s="66">
        <f>IF(OR(Begegnungen!$C191=C16,Begegnungen!$C$182=C16,Begegnungen!$C$183=C16,Begegnungen!$C$184=C16,Begegnungen!$C$185=C16,Begegnungen!$C$186=C16,Begegnungen!$C$187=C16),Begegnungen!$C$191,IF(OR(Begegnungen!$E$181=C16,Begegnungen!$E$182=C16,Begegnungen!$E$183=C16,Begegnungen!$E$184=C16,Begegnungen!$E$185=C16,Begegnungen!$E$186=C16,Begegnungen!$E$187=C16),Begegnungen!$E$191,""))</f>
        <v>3</v>
      </c>
      <c r="AA16" s="66">
        <f>IF(OR(Begegnungen!$I191=C16,Begegnungen!$I$182=C16,Begegnungen!$I$183=C16,Begegnungen!$I$184=C16,Begegnungen!$I$185=C16,Begegnungen!$I$186=C16,Begegnungen!$I$187=C16),Begegnungen!$I$191,IF(OR(Begegnungen!$K$181=C16,Begegnungen!$K$182=C16,Begegnungen!$K$183=C16,Begegnungen!$K$184=C16,Begegnungen!$K$185=C16,Begegnungen!$K$186=C16,Begegnungen!$K$187=C16),Begegnungen!$K$191,""))</f>
        <v>8</v>
      </c>
      <c r="AB16" s="66">
        <f>IF(OR(Begegnungen!$C207=C16,Begegnungen!$C$198=C16,Begegnungen!$C$199=C16,Begegnungen!$C$200=C16,Begegnungen!$C$201=C16,Begegnungen!$C$202=C16,Begegnungen!$C$203=C16),Begegnungen!$C$207,IF(OR(Begegnungen!$E$197=C16,Begegnungen!$E$198=C16,Begegnungen!$E$199=C16,Begegnungen!$E$200=C16,Begegnungen!$E$201=C16,Begegnungen!$E$202=C16,Begegnungen!$E$203=C16),Begegnungen!$E$207,""))</f>
        <v>1</v>
      </c>
      <c r="AC16" s="66">
        <f>IF(OR(Begegnungen!$I207=C16,Begegnungen!$I$198=C16,Begegnungen!$I$199=C16,Begegnungen!$I$200=C16,Begegnungen!$I$201=C16,Begegnungen!$I$202=C16,Begegnungen!$I$203=C16),Begegnungen!$I$207,IF(OR(Begegnungen!$K$197=C16,Begegnungen!$K$198=C16,Begegnungen!$K$199=C16,Begegnungen!$K$200=C16,Begegnungen!$K$201=C16,Begegnungen!$K$202=C16,Begegnungen!$K$203=C16),Begegnungen!$K$207,""))</f>
        <v>2</v>
      </c>
      <c r="AD16" s="66">
        <f>IF(OR(Begegnungen!$C223=C16,Begegnungen!$C$214=C16,Begegnungen!$C$215=C16,Begegnungen!$C$216=C16,Begegnungen!$C$217=C16,Begegnungen!$C$218=C16,Begegnungen!$C$219=C16),Begegnungen!$C$223,IF(OR(Begegnungen!$E$213=C16,Begegnungen!$E$214=C16,Begegnungen!$E$215=C16,Begegnungen!$E$216=C16,Begegnungen!$E$217=C16,Begegnungen!$E$218=C16,Begegnungen!$E$219=C16),Begegnungen!$E$223,""))</f>
        <v>5</v>
      </c>
      <c r="AE16" s="66">
        <f>IF(OR(Begegnungen!$I223=C16,Begegnungen!$I$214=C16,Begegnungen!$I$215=C16,Begegnungen!$I$216=C16,Begegnungen!$I$217=C16,Begegnungen!$I$218=C16,Begegnungen!$I$219=C16),Begegnungen!$I$223,IF(OR(Begegnungen!$K$213=C16,Begegnungen!$K$214=C16,Begegnungen!$K$215=C16,Begegnungen!$K$216=C16,Begegnungen!$K$217=C16,Begegnungen!$K$218=C16,Begegnungen!$K$219=C16),Begegnungen!$K$223,""))</f>
        <v>5</v>
      </c>
      <c r="AF16" s="136" t="str">
        <f>IF(OR(Begegnungen!$C239=C16,Begegnungen!$C$230=C16,Begegnungen!$C$231=C16,Begegnungen!$C$232=C16,Begegnungen!$C$233=C16,Begegnungen!$C$234=C16,Begegnungen!$C$235=C16),Begegnungen!$C$239,IF(OR(Begegnungen!$E$229=C16,Begegnungen!$E$230=C16,Begegnungen!$E$231=C16,Begegnungen!$E$232=C16,Begegnungen!$E$233=C16,Begegnungen!$E$234=C16,Begegnungen!$E$235=C16),Begegnungen!$E$239,""))</f>
        <v/>
      </c>
      <c r="AG16" s="66" t="str">
        <f>IF(OR(Begegnungen!$I239=C16,Begegnungen!$I$230=C16,Begegnungen!$I$231=C16,Begegnungen!$I$232=C16,Begegnungen!$I$233=C16,Begegnungen!$I$234=C16,Begegnungen!$I$235=C16),Begegnungen!$I$239,IF(OR(Begegnungen!$K$229=C16,Begegnungen!$K$230=C16,Begegnungen!$K$231=C16,Begegnungen!$K$232=C16,Begegnungen!$K$233=C16,Begegnungen!$K$234=C16,Begegnungen!$K$235=C16),Begegnungen!$K$239,""))</f>
        <v/>
      </c>
      <c r="AH16" s="66">
        <f>IF(OR(Begegnungen!$C255=C16,Begegnungen!$C$246=C16,Begegnungen!$C$247=C16,Begegnungen!$C$248=C16,Begegnungen!$C$249=C16,Begegnungen!$C$250=C16,Begegnungen!$C$251=C16),Begegnungen!$C$255,IF(OR(Begegnungen!$E$245=C16,Begegnungen!$E$246=C16,Begegnungen!$E$247=C16,Begegnungen!$E$248=C16,Begegnungen!$E$249=C16,Begegnungen!$E$250=C16,Begegnungen!$E$251=C16),Begegnungen!$E$255,""))</f>
        <v>2</v>
      </c>
      <c r="AI16" s="66">
        <f>IF(OR(Begegnungen!$I255=C16,Begegnungen!$I$246=C16,Begegnungen!$I$247=C16,Begegnungen!$I$248=C16,Begegnungen!$I$249=C16,Begegnungen!$I$250=C16,Begegnungen!$I$251=C16),Begegnungen!$I$255,IF(OR(Begegnungen!$K$245=C16,Begegnungen!$K$246=C16,Begegnungen!$K$247=C16,Begegnungen!$K$248=C16,Begegnungen!$K$249=C16,Begegnungen!$K$250=C16,Begegnungen!$K$251=C16),Begegnungen!$K$255,""))</f>
        <v>2</v>
      </c>
      <c r="AJ16" s="66">
        <f>IF(OR(Begegnungen!$C271=C16,Begegnungen!$C$262=C16,Begegnungen!$C$263=C16,Begegnungen!$C$264=C16,Begegnungen!$C$265=C16,Begegnungen!$C$266=C16,Begegnungen!$C$267=C16),Begegnungen!$C$271,IF(OR(Begegnungen!$E$261=C16,Begegnungen!$E$262=C16,Begegnungen!$E$263=C16,Begegnungen!$E$264=C16,Begegnungen!$E$265=C16,Begegnungen!$E$266=C16,Begegnungen!$E$267=C16),Begegnungen!$E$271,""))</f>
        <v>3</v>
      </c>
      <c r="AK16" s="66" t="str">
        <f>IF(OR(Begegnungen!$I271=C16,Begegnungen!$I$262=C16,Begegnungen!$I$263=C16,Begegnungen!$I$264=C16,Begegnungen!$I$265=C16,Begegnungen!$I$266=C16,Begegnungen!$I$267=C16),Begegnungen!$I$271,IF(OR(Begegnungen!$K$261=C16,Begegnungen!$K$262=C16,Begegnungen!$K$263=C16,Begegnungen!$K$264=C16,Begegnungen!$K$265=C16,Begegnungen!$K$266=C16,Begegnungen!$K$267=C16),Begegnungen!$K$271,""))</f>
        <v/>
      </c>
      <c r="AL16" s="66">
        <f>IF(OR(Begegnungen!$C287=C16,Begegnungen!$C$278=C16,Begegnungen!$C$279=C16,Begegnungen!$C$280=C16,Begegnungen!$C$281=C16,Begegnungen!$C$282=C16,Begegnungen!$C$283=C16),Begegnungen!$C$287,IF(OR(Begegnungen!$E$277=C16,Begegnungen!$E$278=C16,Begegnungen!$E$279=C16,Begegnungen!$E$280=C16,Begegnungen!$E$281=C16,Begegnungen!$E$282=C16,Begegnungen!$E$283=C16),Begegnungen!$E$287,""))</f>
        <v>5</v>
      </c>
      <c r="AM16" s="136">
        <f>IF(OR(Begegnungen!$I287=C16,Begegnungen!$I$278=C16,Begegnungen!$I$279=C16,Begegnungen!$I$280=C16,Begegnungen!$I$281=C16,Begegnungen!$I$282=C16,Begegnungen!$I$283=C16),Begegnungen!$I$287,IF(OR(Begegnungen!$K$277=C16,Begegnungen!$K$278=C16,Begegnungen!$K$279=C16,Begegnungen!$K$280=C16,Begegnungen!$K$281=C16,Begegnungen!$K$282=C16,Begegnungen!$K$283=C16),Begegnungen!$K$287,""))</f>
        <v>3</v>
      </c>
      <c r="AN16" s="66">
        <f>IF(OR(Begegnungen!$C303=C16,Begegnungen!$C$294=C16,Begegnungen!$C$295=C16,Begegnungen!$C$296=C16,Begegnungen!$C$297=C16,Begegnungen!$C$298=C16,Begegnungen!$C$299=C16),Begegnungen!$C$303,IF(OR(Begegnungen!$E$293=C16,Begegnungen!$E$294=C16,Begegnungen!$E$295=C16,Begegnungen!$E$296=C16,Begegnungen!$E$297=C16,Begegnungen!$E$298=C16,Begegnungen!$E$299=C16),Begegnungen!$E$303,""))</f>
        <v>3</v>
      </c>
      <c r="AO16" s="136">
        <f>IF(OR(Begegnungen!$I303=C16,Begegnungen!$I$294=C16,Begegnungen!$I$295=C16,Begegnungen!$I$296=C16,Begegnungen!$I$297=C16,Begegnungen!$I$298=C16,Begegnungen!$I$299=C16),Begegnungen!$I$303,IF(OR(Begegnungen!$K$293=C16,Begegnungen!$K$294=C16,Begegnungen!$K$295=C16,Begegnungen!$K$296=C16,Begegnungen!$K$297=C16,Begegnungen!$K$298=C16,Begegnungen!$K$299=C16),Begegnungen!$K$303,""))</f>
        <v>0</v>
      </c>
      <c r="AP16" s="136">
        <f>IF(OR(Begegnungen!$C319=C16,Begegnungen!$C$310=C16,Begegnungen!$C$311=C16,Begegnungen!$C$312=C16,Begegnungen!$C$313=C16,Begegnungen!$C$314=C16,Begegnungen!$C$315=C16),Begegnungen!$C$319,IF(OR(Begegnungen!$E$309=C16,Begegnungen!$E$310=C16,Begegnungen!$E$311=C16,Begegnungen!$E$312=C16,Begegnungen!$E$313=C16,Begegnungen!$E$314=C16,Begegnungen!$E$315=C16),Begegnungen!$E$319,""))</f>
        <v>2</v>
      </c>
      <c r="AQ16" s="66">
        <f>IF(OR(Begegnungen!$I319=C16,Begegnungen!$I$310=C16,Begegnungen!$I$311=C16,Begegnungen!$I$312=C16,Begegnungen!$I$313=C16,Begegnungen!$I$314=C16,Begegnungen!$I$315=C16),Begegnungen!$I$319,IF(OR(Begegnungen!$K$309=C16,Begegnungen!$K$310=C16,Begegnungen!$K$311=C16,Begegnungen!$K$312=C16,Begegnungen!$K$313=C16,Begegnungen!$K$314=C16,Begegnungen!$K$315=C16),Begegnungen!$K$319,""))</f>
        <v>4</v>
      </c>
      <c r="AR16" s="25">
        <f t="shared" si="0"/>
        <v>117</v>
      </c>
      <c r="AS16" s="139">
        <f>Spiele!AS16</f>
        <v>37</v>
      </c>
      <c r="AT16" s="140">
        <f t="shared" si="1"/>
        <v>3.1621621621621623</v>
      </c>
    </row>
    <row r="17" spans="2:46" x14ac:dyDescent="0.25">
      <c r="B17" s="4">
        <v>12</v>
      </c>
      <c r="C17" s="146" t="s">
        <v>15</v>
      </c>
      <c r="D17" s="148">
        <f>IF(OR(Begegnungen!$C$3=C17,Begegnungen!$C$4=C17,Begegnungen!$C$5=C17,Begegnungen!$C$6=C17,Begegnungen!$C$7=C17,Begegnungen!$C$8=C17,Begegnungen!$C$9=C17),Begegnungen!$C$13,IF(OR(Begegnungen!$E$3=C17,Begegnungen!$E$4=C17,Begegnungen!$E$5=C17,Begegnungen!$E$6=C17,Begegnungen!$E$7=C17,Begegnungen!$E$8=C17,Begegnungen!$E$9=C17),Begegnungen!$E$13,""))</f>
        <v>2</v>
      </c>
      <c r="E17" s="66">
        <f>IF(OR(Begegnungen!$I$3=C17,Begegnungen!$I$4=C17,Begegnungen!$I$5=C17,Begegnungen!$I$6=C17,Begegnungen!$I$7=C17,Begegnungen!$I$8=C17,Begegnungen!$I$9=C17),Begegnungen!$I$13,IF(OR(Begegnungen!$K$3=C17,Begegnungen!$K$4=C17,Begegnungen!$K$5=C17,Begegnungen!$K$6=C17,Begegnungen!$K$7=C17,Begegnungen!$K$8=C17,Begegnungen!$K$9=C17),Begegnungen!$K$13,""))</f>
        <v>1</v>
      </c>
      <c r="F17" s="66">
        <f>IF(OR(Begegnungen!$C$19=C17,Begegnungen!$C$20=C17,Begegnungen!$C$21=C17,Begegnungen!$C$22=C17,Begegnungen!$C$23=C17,Begegnungen!$C$24=C17,Begegnungen!$C$25=C17),Begegnungen!$C$29,IF(OR(Begegnungen!$E$19=C17,Begegnungen!$E$20=C17,Begegnungen!$E$21=C17,Begegnungen!$E$22=C17,Begegnungen!$E$23=C17,Begegnungen!$E$24=C17,Begegnungen!$E$25=C17),Begegnungen!$E$29,""))</f>
        <v>4</v>
      </c>
      <c r="G17" s="66">
        <f>IF(OR(Begegnungen!$I$19=C17,Begegnungen!$I$20=C17,Begegnungen!$I$21=C17,Begegnungen!$I$22=C17,Begegnungen!$I$23=C17,Begegnungen!$I$24=C17,Begegnungen!$I$25=C17),Begegnungen!$I$29,IF(OR(Begegnungen!$K$19=C17,Begegnungen!$K$20=C17,Begegnungen!$K$21=C17,Begegnungen!$K$22=C17,Begegnungen!$K$23=C17,Begegnungen!$K$24=C17,Begegnungen!$K$25=C17),Begegnungen!$K$29,""))</f>
        <v>2</v>
      </c>
      <c r="H17" s="66" t="str">
        <f>IF(OR(Begegnungen!$C$35=C17,Begegnungen!$C$36=C17,Begegnungen!$C$37=C17,Begegnungen!$C$38=C17,Begegnungen!$C$39=C17,Begegnungen!$C$40=C17,Begegnungen!$C$41=C17),Begegnungen!$C$46,IF(OR(Begegnungen!$E$35=C17,Begegnungen!$E$36=C17,Begegnungen!$E$37=C17,Begegnungen!$E$38=C17,Begegnungen!$E$39=C17,Begegnungen!$E$40=C17,Begegnungen!$E$41=C17),Begegnungen!$E$46,""))</f>
        <v/>
      </c>
      <c r="I17" s="66">
        <f>IF(OR(Begegnungen!$I$35=C17,Begegnungen!$I$36=C17,Begegnungen!$I$37=C17,Begegnungen!$I$38=C17,Begegnungen!$I$39=C17,Begegnungen!$I$40=C17,Begegnungen!$I$41=C17),Begegnungen!$I$46,IF(OR(Begegnungen!$K$35=C17,Begegnungen!$K$36=C17,Begegnungen!$K$37=C17,Begegnungen!$K$38=C17,Begegnungen!$K$39=C17,Begegnungen!$K$40=C17,Begegnungen!$K$41=C17),Begegnungen!$K$46,""))</f>
        <v>3</v>
      </c>
      <c r="J17" s="136">
        <f>IF(OR(Begegnungen!$C$52=C17,Begegnungen!$C$53=C17,Begegnungen!$C$54=C17,Begegnungen!$C$55=C17,Begegnungen!$C$56=C17,Begegnungen!$C$57=C17,Begegnungen!$C$58=C17),Begegnungen!$C$62,IF(OR(Begegnungen!$E$52=C17,Begegnungen!$E$53=C17,Begegnungen!$E$54=C17,Begegnungen!$E$55=C17,Begegnungen!$E$56=C17,Begegnungen!$E$57=C17,Begegnungen!$E$58=C17),Begegnungen!$E$62,""))</f>
        <v>3</v>
      </c>
      <c r="K17" s="66" t="str">
        <f>IF(OR(Begegnungen!$I$52=C17,Begegnungen!$I$53=C17,Begegnungen!$I$54=C17,Begegnungen!$I$55=C17,Begegnungen!$I$56=C17,Begegnungen!$I$57=C17,Begegnungen!$I$58=C17),Begegnungen!$I$62,IF(OR(Begegnungen!$K$52=C17,Begegnungen!$K$53=C17,Begegnungen!$K$54=C17,Begegnungen!$K$55=C17,Begegnungen!$K$56=C17,Begegnungen!$K$57=C17,Begegnungen!$K$58=C17),Begegnungen!$K$62,""))</f>
        <v/>
      </c>
      <c r="L17" s="136">
        <f>IF(OR(Begegnungen!$C79=C17,Begegnungen!$C$69=C17,Begegnungen!$C$70=C17,Begegnungen!$C$71=C17,Begegnungen!$C$72=C17,Begegnungen!$C$73=C17,Begegnungen!$C$74=C17),Begegnungen!$C$78,IF(OR(Begegnungen!$E$68=C17,Begegnungen!$E$69=C17,Begegnungen!$E$70=C17,Begegnungen!$E$71=C17,Begegnungen!$E$72=C17,Begegnungen!$E$73=C17,Begegnungen!$E$74=C17),Begegnungen!$E$78,""))</f>
        <v>4</v>
      </c>
      <c r="M17" s="66">
        <f>IF(OR(Begegnungen!$I79=C17,Begegnungen!$I$69=C17,Begegnungen!$I$70=C17,Begegnungen!$I$71=C17,Begegnungen!$I$72=C17,Begegnungen!$I$73=C17,Begegnungen!$I$74=C17),Begegnungen!$I$78,IF(OR(Begegnungen!$K$68=C17,Begegnungen!$K$69=C17,Begegnungen!$K$70=C17,Begegnungen!$K$71=C17,Begegnungen!$K$72=C17,Begegnungen!$K$73=C17,Begegnungen!$K$74=C17),Begegnungen!$K$78,""))</f>
        <v>1</v>
      </c>
      <c r="N17" s="66">
        <f>IF(OR(Begegnungen!$C96=C17,Begegnungen!$C$85=C17,Begegnungen!$C$86=C17,Begegnungen!$C$87=C17,Begegnungen!$C$88=C17,Begegnungen!$C$89=C17,Begegnungen!$C$90=C17),Begegnungen!$C$95,IF(OR(Begegnungen!$E$84=C17,Begegnungen!$E$85=C17,Begegnungen!$E$86=C17,Begegnungen!$E$87=C17,Begegnungen!$E$88=C17,Begegnungen!$E$89=C17,Begegnungen!$E$90=C17),Begegnungen!$E$95,""))</f>
        <v>1</v>
      </c>
      <c r="O17" s="66">
        <f>IF(OR(Begegnungen!$I96=C17,Begegnungen!$I$85=C17,Begegnungen!$I$86=C17,Begegnungen!$I$87=C17,Begegnungen!$I$88=C17,Begegnungen!$I$89=C17,Begegnungen!$I$90=C17),Begegnungen!$I$95,IF(OR(Begegnungen!$K$84=C17,Begegnungen!$K$85=C17,Begegnungen!$K$86=C17,Begegnungen!$K$87=C17,Begegnungen!$K$88=C17,Begegnungen!$K$89=C17,Begegnungen!$K$90=C17),Begegnungen!$K$95,""))</f>
        <v>2</v>
      </c>
      <c r="P17" s="66">
        <f>IF(OR(Begegnungen!$C112=C17,Begegnungen!$C$102=C17,Begegnungen!$C$103=C17,Begegnungen!$C$104=C17,Begegnungen!$C$105=C17,Begegnungen!$C$106=C17,Begegnungen!$C$107=C17),Begegnungen!$C$111,IF(OR(Begegnungen!$E$101=C17,Begegnungen!$E$102=C17,Begegnungen!$E$103=C17,Begegnungen!$E$104=C17,Begegnungen!$E$105=C17,Begegnungen!$E$106=C17,Begegnungen!$E$107=C17),Begegnungen!$E$111,""))</f>
        <v>3</v>
      </c>
      <c r="Q17" s="66">
        <f>IF(OR(Begegnungen!$I112=C17,Begegnungen!$I$102=C17,Begegnungen!$I$103=C17,Begegnungen!$I$104=C17,Begegnungen!$I$105=C17,Begegnungen!$I$106=C17,Begegnungen!$I$107=C17),Begegnungen!$I$111,IF(OR(Begegnungen!$K$101=C17,Begegnungen!$K$102=C17,Begegnungen!$K$103=C17,Begegnungen!$K$104=C17,Begegnungen!$K$105=C17,Begegnungen!$K$106=C17,Begegnungen!$K$107=C17),Begegnungen!$K$111,""))</f>
        <v>0</v>
      </c>
      <c r="R17" s="136">
        <f>IF(OR(Begegnungen!$C128=C17,Begegnungen!$C$118=C17,Begegnungen!$C$119=C17,Begegnungen!$C$120=C17,Begegnungen!$C$121=C17,Begegnungen!$C$122=C17,Begegnungen!$C$123=C17),Begegnungen!$C$127,IF(OR(Begegnungen!$E$117=C17,Begegnungen!$E$118=C17,Begegnungen!$E$119=C17,Begegnungen!$E$120=C17,Begegnungen!$E$121=C17,Begegnungen!$E$122=C17,Begegnungen!$E$123=C17),Begegnungen!$E$127,""))</f>
        <v>4</v>
      </c>
      <c r="S17" s="66">
        <f>IF(OR(Begegnungen!$I$117=C17,Begegnungen!$I$118=C17,Begegnungen!$I$119=C17,Begegnungen!$I$120=C17,Begegnungen!$I$121=C17,Begegnungen!$I$122=C17,Begegnungen!$I$123=C17),Begegnungen!$I$127,IF(OR(Begegnungen!$K$117=C17,Begegnungen!$K$118=C17,Begegnungen!$K$119=C17,Begegnungen!$K$120=C17,Begegnungen!$K$121=C17,Begegnungen!$K$122=C17,Begegnungen!$K$123=C17),Begegnungen!$K$127,""))</f>
        <v>3</v>
      </c>
      <c r="T17" s="66" t="str">
        <f>IF(OR(Begegnungen!$C144=C17,Begegnungen!$C$134=C17,Begegnungen!$C$135=C17,Begegnungen!$C$136=C17,Begegnungen!$C$137=C17,Begegnungen!$C$138=C17,Begegnungen!$C$139=C17),Begegnungen!$C$143,IF(OR(Begegnungen!$E$133=C17,Begegnungen!$E$134=C17,Begegnungen!$E$135=C17,Begegnungen!$E$136=C17,Begegnungen!$E$137=C17,Begegnungen!$E$138=C17,Begegnungen!$E$139=C17),Begegnungen!$E$143,""))</f>
        <v/>
      </c>
      <c r="U17" s="66">
        <f>IF(OR(Begegnungen!$I144=C17,Begegnungen!$I$134=C17,Begegnungen!$I$135=C17,Begegnungen!$I$136=C17,Begegnungen!$I$137=C17,Begegnungen!$I$138=C17,Begegnungen!$I$139=C17),Begegnungen!$I$143,IF(OR(Begegnungen!$K$133=C17,Begegnungen!$K$134=C17,Begegnungen!$K$135=C17,Begegnungen!$K$136=C17,Begegnungen!$K$137=C17,Begegnungen!$K$138=C17,Begegnungen!$K$139=C17),Begegnungen!$K$143,""))</f>
        <v>1</v>
      </c>
      <c r="V17" s="66">
        <f>IF(OR(Begegnungen!$C160=C17,Begegnungen!$C$150=C17,Begegnungen!$C$151=C17,Begegnungen!$C$152=C17,Begegnungen!$C$153=C17,Begegnungen!$C$154=C17,Begegnungen!$C$155=C17),Begegnungen!$C$159,IF(OR(Begegnungen!$E$149=C17,Begegnungen!$E$150=C17,Begegnungen!$E$151=C17,Begegnungen!$E$152=C17,Begegnungen!$E$153=C17,Begegnungen!$E$154=C17,Begegnungen!$E$155=C17),Begegnungen!$E$159,""))</f>
        <v>4</v>
      </c>
      <c r="W17" s="66" t="str">
        <f>IF(OR(Begegnungen!$I160=C17,Begegnungen!$I$150=C17,Begegnungen!$I$151=C17,Begegnungen!$I$152=C17,Begegnungen!$I$153=C17,Begegnungen!$I$154=C17,Begegnungen!$I$155=C17),Begegnungen!$I$159,IF(OR(Begegnungen!$K$149=C17,Begegnungen!$K$150=C17,Begegnungen!$K$151=C17,Begegnungen!$K$152=C17,Begegnungen!$K$153=C17,Begegnungen!$K$154=C17,Begegnungen!$K$155=C17),Begegnungen!$K$159,""))</f>
        <v/>
      </c>
      <c r="X17" s="66" t="str">
        <f>IF(OR(Begegnungen!$C176=C17,Begegnungen!$C$166=C17,Begegnungen!$C$167=C17,Begegnungen!$C$168=C17,Begegnungen!$C$169=C17,Begegnungen!$C$170=C17,Begegnungen!$C$171=C17),Begegnungen!$C$175,IF(OR(Begegnungen!$E$165=C17,Begegnungen!$E$166=C17,Begegnungen!$E$167=C17,Begegnungen!$E$168=C17,Begegnungen!$E$169=C17,Begegnungen!$E$170=C17,Begegnungen!$E$171=C17),Begegnungen!$E$175,""))</f>
        <v/>
      </c>
      <c r="Y17" s="66">
        <f>IF(OR(Begegnungen!$I176=C17,Begegnungen!$I$166=C17,Begegnungen!$I$167=C17,Begegnungen!$I$168=C17,Begegnungen!$I$169=C17,Begegnungen!$I$170=C17,Begegnungen!$I$171=C17),Begegnungen!$I$175,IF(OR(Begegnungen!$K$165=C17,Begegnungen!$K$166=C17,Begegnungen!$K$167=C17,Begegnungen!$K$168=C17,Begegnungen!$K$169=C17,Begegnungen!$K$170=C17,Begegnungen!$K$171=C17),Begegnungen!$K$175,""))</f>
        <v>4</v>
      </c>
      <c r="Z17" s="66" t="str">
        <f>IF(OR(Begegnungen!$C192=C17,Begegnungen!$C$182=C17,Begegnungen!$C$183=C17,Begegnungen!$C$184=C17,Begegnungen!$C$185=C17,Begegnungen!$C$186=C17,Begegnungen!$C$187=C17),Begegnungen!$C$191,IF(OR(Begegnungen!$E$181=C17,Begegnungen!$E$182=C17,Begegnungen!$E$183=C17,Begegnungen!$E$184=C17,Begegnungen!$E$185=C17,Begegnungen!$E$186=C17,Begegnungen!$E$187=C17),Begegnungen!$E$191,""))</f>
        <v/>
      </c>
      <c r="AA17" s="66">
        <f>IF(OR(Begegnungen!$I192=C17,Begegnungen!$I$182=C17,Begegnungen!$I$183=C17,Begegnungen!$I$184=C17,Begegnungen!$I$185=C17,Begegnungen!$I$186=C17,Begegnungen!$I$187=C17),Begegnungen!$I$191,IF(OR(Begegnungen!$K$181=C17,Begegnungen!$K$182=C17,Begegnungen!$K$183=C17,Begegnungen!$K$184=C17,Begegnungen!$K$185=C17,Begegnungen!$K$186=C17,Begegnungen!$K$187=C17),Begegnungen!$K$191,""))</f>
        <v>2</v>
      </c>
      <c r="AB17" s="66">
        <f>IF(OR(Begegnungen!$C208=C17,Begegnungen!$C$198=C17,Begegnungen!$C$199=C17,Begegnungen!$C$200=C17,Begegnungen!$C$201=C17,Begegnungen!$C$202=C17,Begegnungen!$C$203=C17),Begegnungen!$C$207,IF(OR(Begegnungen!$E$197=C17,Begegnungen!$E$198=C17,Begegnungen!$E$199=C17,Begegnungen!$E$200=C17,Begegnungen!$E$201=C17,Begegnungen!$E$202=C17,Begegnungen!$E$203=C17),Begegnungen!$E$207,""))</f>
        <v>1</v>
      </c>
      <c r="AC17" s="66">
        <f>IF(OR(Begegnungen!$I208=C17,Begegnungen!$I$198=C17,Begegnungen!$I$199=C17,Begegnungen!$I$200=C17,Begegnungen!$I$201=C17,Begegnungen!$I$202=C17,Begegnungen!$I$203=C17),Begegnungen!$I$207,IF(OR(Begegnungen!$K$197=C17,Begegnungen!$K$198=C17,Begegnungen!$K$199=C17,Begegnungen!$K$200=C17,Begegnungen!$K$201=C17,Begegnungen!$K$202=C17,Begegnungen!$K$203=C17),Begegnungen!$K$207,""))</f>
        <v>5</v>
      </c>
      <c r="AD17" s="66" t="str">
        <f>IF(OR(Begegnungen!$C224=C17,Begegnungen!$C$214=C17,Begegnungen!$C$215=C17,Begegnungen!$C$216=C17,Begegnungen!$C$217=C17,Begegnungen!$C$218=C17,Begegnungen!$C$219=C17),Begegnungen!$C$223,IF(OR(Begegnungen!$E$213=C17,Begegnungen!$E$214=C17,Begegnungen!$E$215=C17,Begegnungen!$E$216=C17,Begegnungen!$E$217=C17,Begegnungen!$E$218=C17,Begegnungen!$E$219=C17),Begegnungen!$E$223,""))</f>
        <v/>
      </c>
      <c r="AE17" s="66" t="str">
        <f>IF(OR(Begegnungen!$I224=C17,Begegnungen!$I$214=C17,Begegnungen!$I$215=C17,Begegnungen!$I$216=C17,Begegnungen!$I$217=C17,Begegnungen!$I$218=C17,Begegnungen!$I$219=C17),Begegnungen!$I$223,IF(OR(Begegnungen!$K$213=C17,Begegnungen!$K$214=C17,Begegnungen!$K$215=C17,Begegnungen!$K$216=C17,Begegnungen!$K$217=C17,Begegnungen!$K$218=C17,Begegnungen!$K$219=C17),Begegnungen!$K$223,""))</f>
        <v/>
      </c>
      <c r="AF17" s="136">
        <f>IF(OR(Begegnungen!$C240=C17,Begegnungen!$C$230=C17,Begegnungen!$C$231=C17,Begegnungen!$C$232=C17,Begegnungen!$C$233=C17,Begegnungen!$C$234=C17,Begegnungen!$C$235=C17),Begegnungen!$C$239,IF(OR(Begegnungen!$E$229=C17,Begegnungen!$E$230=C17,Begegnungen!$E$231=C17,Begegnungen!$E$232=C17,Begegnungen!$E$233=C17,Begegnungen!$E$234=C17,Begegnungen!$E$235=C17),Begegnungen!$E$239,""))</f>
        <v>0</v>
      </c>
      <c r="AG17" s="66">
        <f>IF(OR(Begegnungen!$I240=C17,Begegnungen!$I$230=C17,Begegnungen!$I$231=C17,Begegnungen!$I$232=C17,Begegnungen!$I$233=C17,Begegnungen!$I$234=C17,Begegnungen!$I$235=C17),Begegnungen!$I$239,IF(OR(Begegnungen!$K$229=C17,Begegnungen!$K$230=C17,Begegnungen!$K$231=C17,Begegnungen!$K$232=C17,Begegnungen!$K$233=C17,Begegnungen!$K$234=C17,Begegnungen!$K$235=C17),Begegnungen!$K$239,""))</f>
        <v>5</v>
      </c>
      <c r="AH17" s="66">
        <f>IF(OR(Begegnungen!$C256=C17,Begegnungen!$C$246=C17,Begegnungen!$C$247=C17,Begegnungen!$C$248=C17,Begegnungen!$C$249=C17,Begegnungen!$C$250=C17,Begegnungen!$C$251=C17),Begegnungen!$C$255,IF(OR(Begegnungen!$E$245=C17,Begegnungen!$E$246=C17,Begegnungen!$E$247=C17,Begegnungen!$E$248=C17,Begegnungen!$E$249=C17,Begegnungen!$E$250=C17,Begegnungen!$E$251=C17),Begegnungen!$E$255,""))</f>
        <v>2</v>
      </c>
      <c r="AI17" s="66" t="str">
        <f>IF(OR(Begegnungen!$I256=C17,Begegnungen!$I$246=C17,Begegnungen!$I$247=C17,Begegnungen!$I$248=C17,Begegnungen!$I$249=C17,Begegnungen!$I$250=C17,Begegnungen!$I$251=C17),Begegnungen!$I$255,IF(OR(Begegnungen!$K$245=C17,Begegnungen!$K$246=C17,Begegnungen!$K$247=C17,Begegnungen!$K$248=C17,Begegnungen!$K$249=C17,Begegnungen!$K$250=C17,Begegnungen!$K$251=C17),Begegnungen!$K$255,""))</f>
        <v/>
      </c>
      <c r="AJ17" s="66">
        <f>IF(OR(Begegnungen!$C272=C17,Begegnungen!$C$262=C17,Begegnungen!$C$263=C17,Begegnungen!$C$264=C17,Begegnungen!$C$265=C17,Begegnungen!$C$266=C17,Begegnungen!$C$267=C17),Begegnungen!$C$271,IF(OR(Begegnungen!$E$261=C17,Begegnungen!$E$262=C17,Begegnungen!$E$263=C17,Begegnungen!$E$264=C17,Begegnungen!$E$265=C17,Begegnungen!$E$266=C17,Begegnungen!$E$267=C17),Begegnungen!$E$271,""))</f>
        <v>5</v>
      </c>
      <c r="AK17" s="66">
        <f>IF(OR(Begegnungen!$I272=C17,Begegnungen!$I$262=C17,Begegnungen!$I$263=C17,Begegnungen!$I$264=C17,Begegnungen!$I$265=C17,Begegnungen!$I$266=C17,Begegnungen!$I$267=C17),Begegnungen!$I$271,IF(OR(Begegnungen!$K$261=C17,Begegnungen!$K$262=C17,Begegnungen!$K$263=C17,Begegnungen!$K$264=C17,Begegnungen!$K$265=C17,Begegnungen!$K$266=C17,Begegnungen!$K$267=C17),Begegnungen!$K$271,""))</f>
        <v>1</v>
      </c>
      <c r="AL17" s="66" t="str">
        <f>IF(OR(Begegnungen!$C288=C17,Begegnungen!$C$278=C17,Begegnungen!$C$279=C17,Begegnungen!$C$280=C17,Begegnungen!$C$281=C17,Begegnungen!$C$282=C17,Begegnungen!$C$283=C17),Begegnungen!$C$287,IF(OR(Begegnungen!$E$277=C17,Begegnungen!$E$278=C17,Begegnungen!$E$279=C17,Begegnungen!$E$280=C17,Begegnungen!$E$281=C17,Begegnungen!$E$282=C17,Begegnungen!$E$283=C17),Begegnungen!$E$287,""))</f>
        <v/>
      </c>
      <c r="AM17" s="136">
        <f>IF(OR(Begegnungen!$I288=C17,Begegnungen!$I$278=C17,Begegnungen!$I$279=C17,Begegnungen!$I$280=C17,Begegnungen!$I$281=C17,Begegnungen!$I$282=C17,Begegnungen!$I$283=C17),Begegnungen!$I$287,IF(OR(Begegnungen!$K$277=C17,Begegnungen!$K$278=C17,Begegnungen!$K$279=C17,Begegnungen!$K$280=C17,Begegnungen!$K$281=C17,Begegnungen!$K$282=C17,Begegnungen!$K$283=C17),Begegnungen!$K$287,""))</f>
        <v>2</v>
      </c>
      <c r="AN17" s="66">
        <f>IF(OR(Begegnungen!$C304=C17,Begegnungen!$C$294=C17,Begegnungen!$C$295=C17,Begegnungen!$C$296=C17,Begegnungen!$C$297=C17,Begegnungen!$C$298=C17,Begegnungen!$C$299=C17),Begegnungen!$C$303,IF(OR(Begegnungen!$E$293=C17,Begegnungen!$E$294=C17,Begegnungen!$E$295=C17,Begegnungen!$E$296=C17,Begegnungen!$E$297=C17,Begegnungen!$E$298=C17,Begegnungen!$E$299=C17),Begegnungen!$E$303,""))</f>
        <v>0</v>
      </c>
      <c r="AO17" s="136">
        <f>IF(OR(Begegnungen!$I304=C17,Begegnungen!$I$294=C17,Begegnungen!$I$295=C17,Begegnungen!$I$296=C17,Begegnungen!$I$297=C17,Begegnungen!$I$298=C17,Begegnungen!$I$299=C17),Begegnungen!$I$303,IF(OR(Begegnungen!$K$293=C17,Begegnungen!$K$294=C17,Begegnungen!$K$295=C17,Begegnungen!$K$296=C17,Begegnungen!$K$297=C17,Begegnungen!$K$298=C17,Begegnungen!$K$299=C17),Begegnungen!$K$303,""))</f>
        <v>0</v>
      </c>
      <c r="AP17" s="136">
        <f>IF(OR(Begegnungen!$C320=C17,Begegnungen!$C$310=C17,Begegnungen!$C$311=C17,Begegnungen!$C$312=C17,Begegnungen!$C$313=C17,Begegnungen!$C$314=C17,Begegnungen!$C$315=C17),Begegnungen!$C$319,IF(OR(Begegnungen!$E$309=C17,Begegnungen!$E$310=C17,Begegnungen!$E$311=C17,Begegnungen!$E$312=C17,Begegnungen!$E$313=C17,Begegnungen!$E$314=C17,Begegnungen!$E$315=C17),Begegnungen!$E$319,""))</f>
        <v>7</v>
      </c>
      <c r="AQ17" s="66" t="str">
        <f>IF(OR(Begegnungen!$I320=C17,Begegnungen!$I$310=C17,Begegnungen!$I$311=C17,Begegnungen!$I$312=C17,Begegnungen!$I$313=C17,Begegnungen!$I$314=C17,Begegnungen!$I$315=C17),Begegnungen!$I$319,IF(OR(Begegnungen!$K$309=C17,Begegnungen!$K$310=C17,Begegnungen!$K$311=C17,Begegnungen!$K$312=C17,Begegnungen!$K$313=C17,Begegnungen!$K$314=C17,Begegnungen!$K$315=C17),Begegnungen!$K$319,""))</f>
        <v/>
      </c>
      <c r="AR17" s="25">
        <f t="shared" si="0"/>
        <v>72</v>
      </c>
      <c r="AS17" s="139">
        <f>Spiele!AS17</f>
        <v>29</v>
      </c>
      <c r="AT17" s="140">
        <f t="shared" si="1"/>
        <v>2.4827586206896552</v>
      </c>
    </row>
    <row r="18" spans="2:46" x14ac:dyDescent="0.25">
      <c r="B18" s="4">
        <v>13</v>
      </c>
      <c r="C18" s="146" t="s">
        <v>12</v>
      </c>
      <c r="D18" s="148" t="str">
        <f>IF(OR(Begegnungen!$C$3=C18,Begegnungen!$C$4=C18,Begegnungen!$C$5=C18,Begegnungen!$C$6=C18,Begegnungen!$C$7=C18,Begegnungen!$C$8=C18,Begegnungen!$C$9=C18),Begegnungen!$C$13,IF(OR(Begegnungen!$E$3=C18,Begegnungen!$E$4=C18,Begegnungen!$E$5=C18,Begegnungen!$E$6=C18,Begegnungen!$E$7=C18,Begegnungen!$E$8=C18,Begegnungen!$E$9=C18),Begegnungen!$E$13,""))</f>
        <v/>
      </c>
      <c r="E18" s="66" t="str">
        <f>IF(OR(Begegnungen!$I$3=C18,Begegnungen!$I$4=C18,Begegnungen!$I$5=C18,Begegnungen!$I$6=C18,Begegnungen!$I$7=C18,Begegnungen!$I$8=C18,Begegnungen!$I$9=C18),Begegnungen!$I$13,IF(OR(Begegnungen!$K$3=C18,Begegnungen!$K$4=C18,Begegnungen!$K$5=C18,Begegnungen!$K$6=C18,Begegnungen!$K$7=C18,Begegnungen!$K$8=C18,Begegnungen!$K$9=C18),Begegnungen!$K$13,""))</f>
        <v/>
      </c>
      <c r="F18" s="66" t="str">
        <f>IF(OR(Begegnungen!$C$19=C18,Begegnungen!$C$20=C18,Begegnungen!$C$21=C18,Begegnungen!$C$22=C18,Begegnungen!$C$23=C18,Begegnungen!$C$24=C18,Begegnungen!$C$25=C18),Begegnungen!$C$29,IF(OR(Begegnungen!$E$19=C18,Begegnungen!$E$20=C18,Begegnungen!$E$21=C18,Begegnungen!$E$22=C18,Begegnungen!$E$23=C18,Begegnungen!$E$24=C18,Begegnungen!$E$25=C18),Begegnungen!$E$29,""))</f>
        <v/>
      </c>
      <c r="G18" s="66" t="str">
        <f>IF(OR(Begegnungen!$I$19=C18,Begegnungen!$I$20=C18,Begegnungen!$I$21=C18,Begegnungen!$I$22=C18,Begegnungen!$I$23=C18,Begegnungen!$I$24=C18,Begegnungen!$I$25=C18),Begegnungen!$I$29,IF(OR(Begegnungen!$K$19=C18,Begegnungen!$K$20=C18,Begegnungen!$K$21=C18,Begegnungen!$K$22=C18,Begegnungen!$K$23=C18,Begegnungen!$K$24=C18,Begegnungen!$K$25=C18),Begegnungen!$K$29,""))</f>
        <v/>
      </c>
      <c r="H18" s="66" t="str">
        <f>IF(OR(Begegnungen!$C$35=C18,Begegnungen!$C$36=C18,Begegnungen!$C$37=C18,Begegnungen!$C$38=C18,Begegnungen!$C$39=C18,Begegnungen!$C$40=C18,Begegnungen!$C$41=C18),Begegnungen!$C$46,IF(OR(Begegnungen!$E$35=C18,Begegnungen!$E$36=C18,Begegnungen!$E$37=C18,Begegnungen!$E$38=C18,Begegnungen!$E$39=C18,Begegnungen!$E$40=C18,Begegnungen!$E$41=C18),Begegnungen!$E$46,""))</f>
        <v/>
      </c>
      <c r="I18" s="66" t="str">
        <f>IF(OR(Begegnungen!$I$35=C18,Begegnungen!$I$36=C18,Begegnungen!$I$37=C18,Begegnungen!$I$38=C18,Begegnungen!$I$39=C18,Begegnungen!$I$40=C18,Begegnungen!$I$41=C18),Begegnungen!$I$46,IF(OR(Begegnungen!$K$35=C18,Begegnungen!$K$36=C18,Begegnungen!$K$37=C18,Begegnungen!$K$38=C18,Begegnungen!$K$39=C18,Begegnungen!$K$40=C18,Begegnungen!$K$41=C18),Begegnungen!$K$46,""))</f>
        <v/>
      </c>
      <c r="J18" s="136" t="str">
        <f>IF(OR(Begegnungen!$C$52=C18,Begegnungen!$C$53=C18,Begegnungen!$C$54=C18,Begegnungen!$C$55=C18,Begegnungen!$C$56=C18,Begegnungen!$C$57=C18,Begegnungen!$C$58=C18),Begegnungen!$C$62,IF(OR(Begegnungen!$E$52=C18,Begegnungen!$E$53=C18,Begegnungen!$E$54=C18,Begegnungen!$E$55=C18,Begegnungen!$E$56=C18,Begegnungen!$E$57=C18,Begegnungen!$E$58=C18),Begegnungen!$E$62,""))</f>
        <v/>
      </c>
      <c r="K18" s="66" t="str">
        <f>IF(OR(Begegnungen!$I$52=C18,Begegnungen!$I$53=C18,Begegnungen!$I$54=C18,Begegnungen!$I$55=C18,Begegnungen!$I$56=C18,Begegnungen!$I$57=C18,Begegnungen!$I$58=C18),Begegnungen!$I$62,IF(OR(Begegnungen!$K$52=C18,Begegnungen!$K$53=C18,Begegnungen!$K$54=C18,Begegnungen!$K$55=C18,Begegnungen!$K$56=C18,Begegnungen!$K$57=C18,Begegnungen!$K$58=C18),Begegnungen!$K$62,""))</f>
        <v/>
      </c>
      <c r="L18" s="136" t="str">
        <f>IF(OR(Begegnungen!$C80=C18,Begegnungen!$C$69=C18,Begegnungen!$C$70=C18,Begegnungen!$C$71=C18,Begegnungen!$C$72=C18,Begegnungen!$C$73=C18,Begegnungen!$C$74=C18),Begegnungen!$C$78,IF(OR(Begegnungen!$E$68=C18,Begegnungen!$E$69=C18,Begegnungen!$E$70=C18,Begegnungen!$E$71=C18,Begegnungen!$E$72=C18,Begegnungen!$E$73=C18,Begegnungen!$E$74=C18),Begegnungen!$E$78,""))</f>
        <v/>
      </c>
      <c r="M18" s="66" t="str">
        <f>IF(OR(Begegnungen!$I80=C18,Begegnungen!$I$69=C18,Begegnungen!$I$70=C18,Begegnungen!$I$71=C18,Begegnungen!$I$72=C18,Begegnungen!$I$73=C18,Begegnungen!$I$74=C18),Begegnungen!$I$78,IF(OR(Begegnungen!$K$68=C18,Begegnungen!$K$69=C18,Begegnungen!$K$70=C18,Begegnungen!$K$71=C18,Begegnungen!$K$72=C18,Begegnungen!$K$73=C18,Begegnungen!$K$74=C18),Begegnungen!$K$78,""))</f>
        <v/>
      </c>
      <c r="N18" s="66" t="str">
        <f>IF(OR(Begegnungen!$C97=C18,Begegnungen!$C$85=C18,Begegnungen!$C$86=C18,Begegnungen!$C$87=C18,Begegnungen!$C$88=C18,Begegnungen!$C$89=C18,Begegnungen!$C$90=C18),Begegnungen!$C$95,IF(OR(Begegnungen!$E$84=C18,Begegnungen!$E$85=C18,Begegnungen!$E$86=C18,Begegnungen!$E$87=C18,Begegnungen!$E$88=C18,Begegnungen!$E$89=C18,Begegnungen!$E$90=C18),Begegnungen!$E$95,""))</f>
        <v/>
      </c>
      <c r="O18" s="66" t="str">
        <f>IF(OR(Begegnungen!$I97=C18,Begegnungen!$I$85=C18,Begegnungen!$I$86=C18,Begegnungen!$I$87=C18,Begegnungen!$I$88=C18,Begegnungen!$I$89=C18,Begegnungen!$I$90=C18),Begegnungen!$I$95,IF(OR(Begegnungen!$K$84=C18,Begegnungen!$K$85=C18,Begegnungen!$K$86=C18,Begegnungen!$K$87=C18,Begegnungen!$K$88=C18,Begegnungen!$K$89=C18,Begegnungen!$K$90=C18),Begegnungen!$K$95,""))</f>
        <v/>
      </c>
      <c r="P18" s="66" t="str">
        <f>IF(OR(Begegnungen!$C113=C18,Begegnungen!$C$102=C18,Begegnungen!$C$103=C18,Begegnungen!$C$104=C18,Begegnungen!$C$105=C18,Begegnungen!$C$106=C18,Begegnungen!$C$107=C18),Begegnungen!$C$111,IF(OR(Begegnungen!$E$101=C18,Begegnungen!$E$102=C18,Begegnungen!$E$103=C18,Begegnungen!$E$104=C18,Begegnungen!$E$105=C18,Begegnungen!$E$106=C18,Begegnungen!$E$107=C18),Begegnungen!$E$111,""))</f>
        <v/>
      </c>
      <c r="Q18" s="66" t="str">
        <f>IF(OR(Begegnungen!$I113=C18,Begegnungen!$I$102=C18,Begegnungen!$I$103=C18,Begegnungen!$I$104=C18,Begegnungen!$I$105=C18,Begegnungen!$I$106=C18,Begegnungen!$I$107=C18),Begegnungen!$I$111,IF(OR(Begegnungen!$K$101=C18,Begegnungen!$K$102=C18,Begegnungen!$K$103=C18,Begegnungen!$K$104=C18,Begegnungen!$K$105=C18,Begegnungen!$K$106=C18,Begegnungen!$K$107=C18),Begegnungen!$K$111,""))</f>
        <v/>
      </c>
      <c r="R18" s="136" t="str">
        <f>IF(OR(Begegnungen!$C129=C18,Begegnungen!$C$118=C18,Begegnungen!$C$119=C18,Begegnungen!$C$120=C18,Begegnungen!$C$121=C18,Begegnungen!$C$122=C18,Begegnungen!$C$123=C18),Begegnungen!$C$127,IF(OR(Begegnungen!$E$117=C18,Begegnungen!$E$118=C18,Begegnungen!$E$119=C18,Begegnungen!$E$120=C18,Begegnungen!$E$121=C18,Begegnungen!$E$122=C18,Begegnungen!$E$123=C18),Begegnungen!$E$127,""))</f>
        <v/>
      </c>
      <c r="S18" s="66" t="str">
        <f>IF(OR(Begegnungen!$I$117=C18,Begegnungen!$I$118=C18,Begegnungen!$I$119=C18,Begegnungen!$I$120=C18,Begegnungen!$I$121=C18,Begegnungen!$I$122=C18,Begegnungen!$I$123=C18),Begegnungen!$I$127,IF(OR(Begegnungen!$K$117=C18,Begegnungen!$K$118=C18,Begegnungen!$K$119=C18,Begegnungen!$K$120=C18,Begegnungen!$K$121=C18,Begegnungen!$K$122=C18,Begegnungen!$K$123=C18),Begegnungen!$K$127,""))</f>
        <v/>
      </c>
      <c r="T18" s="66" t="str">
        <f>IF(OR(Begegnungen!$C145=C18,Begegnungen!$C$134=C18,Begegnungen!$C$135=C18,Begegnungen!$C$136=C18,Begegnungen!$C$137=C18,Begegnungen!$C$138=C18,Begegnungen!$C$139=C18),Begegnungen!$C$143,IF(OR(Begegnungen!$E$133=C18,Begegnungen!$E$134=C18,Begegnungen!$E$135=C18,Begegnungen!$E$136=C18,Begegnungen!$E$137=C18,Begegnungen!$E$138=C18,Begegnungen!$E$139=C18),Begegnungen!$E$143,""))</f>
        <v/>
      </c>
      <c r="U18" s="66" t="str">
        <f>IF(OR(Begegnungen!$I145=C18,Begegnungen!$I$134=C18,Begegnungen!$I$135=C18,Begegnungen!$I$136=C18,Begegnungen!$I$137=C18,Begegnungen!$I$138=C18,Begegnungen!$I$139=C18),Begegnungen!$I$143,IF(OR(Begegnungen!$K$133=C18,Begegnungen!$K$134=C18,Begegnungen!$K$135=C18,Begegnungen!$K$136=C18,Begegnungen!$K$137=C18,Begegnungen!$K$138=C18,Begegnungen!$K$139=C18),Begegnungen!$K$143,""))</f>
        <v/>
      </c>
      <c r="V18" s="66" t="str">
        <f>IF(OR(Begegnungen!$C161=C18,Begegnungen!$C$150=C18,Begegnungen!$C$151=C18,Begegnungen!$C$152=C18,Begegnungen!$C$153=C18,Begegnungen!$C$154=C18,Begegnungen!$C$155=C18),Begegnungen!$C$159,IF(OR(Begegnungen!$E$149=C18,Begegnungen!$E$150=C18,Begegnungen!$E$151=C18,Begegnungen!$E$152=C18,Begegnungen!$E$153=C18,Begegnungen!$E$154=C18,Begegnungen!$E$155=C18),Begegnungen!$E$159,""))</f>
        <v/>
      </c>
      <c r="W18" s="66" t="str">
        <f>IF(OR(Begegnungen!$I161=C18,Begegnungen!$I$150=C18,Begegnungen!$I$151=C18,Begegnungen!$I$152=C18,Begegnungen!$I$153=C18,Begegnungen!$I$154=C18,Begegnungen!$I$155=C18),Begegnungen!$I$159,IF(OR(Begegnungen!$K$149=C18,Begegnungen!$K$150=C18,Begegnungen!$K$151=C18,Begegnungen!$K$152=C18,Begegnungen!$K$153=C18,Begegnungen!$K$154=C18,Begegnungen!$K$155=C18),Begegnungen!$K$159,""))</f>
        <v/>
      </c>
      <c r="X18" s="66" t="str">
        <f>IF(OR(Begegnungen!$C177=C18,Begegnungen!$C$166=C18,Begegnungen!$C$167=C18,Begegnungen!$C$168=C18,Begegnungen!$C$169=C18,Begegnungen!$C$170=C18,Begegnungen!$C$171=C18),Begegnungen!$C$175,IF(OR(Begegnungen!$E$165=C18,Begegnungen!$E$166=C18,Begegnungen!$E$167=C18,Begegnungen!$E$168=C18,Begegnungen!$E$169=C18,Begegnungen!$E$170=C18,Begegnungen!$E$171=C18),Begegnungen!$E$175,""))</f>
        <v/>
      </c>
      <c r="Y18" s="66" t="str">
        <f>IF(OR(Begegnungen!$I177=C18,Begegnungen!$I$166=C18,Begegnungen!$I$167=C18,Begegnungen!$I$168=C18,Begegnungen!$I$169=C18,Begegnungen!$I$170=C18,Begegnungen!$I$171=C18),Begegnungen!$I$175,IF(OR(Begegnungen!$K$165=C18,Begegnungen!$K$166=C18,Begegnungen!$K$167=C18,Begegnungen!$K$168=C18,Begegnungen!$K$169=C18,Begegnungen!$K$170=C18,Begegnungen!$K$171=C18),Begegnungen!$K$175,""))</f>
        <v/>
      </c>
      <c r="Z18" s="66" t="str">
        <f>IF(OR(Begegnungen!$C193=C18,Begegnungen!$C$182=C18,Begegnungen!$C$183=C18,Begegnungen!$C$184=C18,Begegnungen!$C$185=C18,Begegnungen!$C$186=C18,Begegnungen!$C$187=C18),Begegnungen!$C$191,IF(OR(Begegnungen!$E$181=C18,Begegnungen!$E$182=C18,Begegnungen!$E$183=C18,Begegnungen!$E$184=C18,Begegnungen!$E$185=C18,Begegnungen!$E$186=C18,Begegnungen!$E$187=C18),Begegnungen!$E$191,""))</f>
        <v/>
      </c>
      <c r="AA18" s="66" t="str">
        <f>IF(OR(Begegnungen!$I193=C18,Begegnungen!$I$182=C18,Begegnungen!$I$183=C18,Begegnungen!$I$184=C18,Begegnungen!$I$185=C18,Begegnungen!$I$186=C18,Begegnungen!$I$187=C18),Begegnungen!$I$191,IF(OR(Begegnungen!$K$181=C18,Begegnungen!$K$182=C18,Begegnungen!$K$183=C18,Begegnungen!$K$184=C18,Begegnungen!$K$185=C18,Begegnungen!$K$186=C18,Begegnungen!$K$187=C18),Begegnungen!$K$191,""))</f>
        <v/>
      </c>
      <c r="AB18" s="66" t="str">
        <f>IF(OR(Begegnungen!$C209=C18,Begegnungen!$C$198=C18,Begegnungen!$C$199=C18,Begegnungen!$C$200=C18,Begegnungen!$C$201=C18,Begegnungen!$C$202=C18,Begegnungen!$C$203=C18),Begegnungen!$C$207,IF(OR(Begegnungen!$E$197=C18,Begegnungen!$E$198=C18,Begegnungen!$E$199=C18,Begegnungen!$E$200=C18,Begegnungen!$E$201=C18,Begegnungen!$E$202=C18,Begegnungen!$E$203=C18),Begegnungen!$E$207,""))</f>
        <v/>
      </c>
      <c r="AC18" s="66" t="str">
        <f>IF(OR(Begegnungen!$I209=C18,Begegnungen!$I$198=C18,Begegnungen!$I$199=C18,Begegnungen!$I$200=C18,Begegnungen!$I$201=C18,Begegnungen!$I$202=C18,Begegnungen!$I$203=C18),Begegnungen!$I$207,IF(OR(Begegnungen!$K$197=C18,Begegnungen!$K$198=C18,Begegnungen!$K$199=C18,Begegnungen!$K$200=C18,Begegnungen!$K$201=C18,Begegnungen!$K$202=C18,Begegnungen!$K$203=C18),Begegnungen!$K$207,""))</f>
        <v/>
      </c>
      <c r="AD18" s="66" t="str">
        <f>IF(OR(Begegnungen!$C225=C18,Begegnungen!$C$214=C18,Begegnungen!$C$215=C18,Begegnungen!$C$216=C18,Begegnungen!$C$217=C18,Begegnungen!$C$218=C18,Begegnungen!$C$219=C18),Begegnungen!$C$223,IF(OR(Begegnungen!$E$213=C18,Begegnungen!$E$214=C18,Begegnungen!$E$215=C18,Begegnungen!$E$216=C18,Begegnungen!$E$217=C18,Begegnungen!$E$218=C18,Begegnungen!$E$219=C18),Begegnungen!$E$223,""))</f>
        <v/>
      </c>
      <c r="AE18" s="66" t="str">
        <f>IF(OR(Begegnungen!$I225=C18,Begegnungen!$I$214=C18,Begegnungen!$I$215=C18,Begegnungen!$I$216=C18,Begegnungen!$I$217=C18,Begegnungen!$I$218=C18,Begegnungen!$I$219=C18),Begegnungen!$I$223,IF(OR(Begegnungen!$K$213=C18,Begegnungen!$K$214=C18,Begegnungen!$K$215=C18,Begegnungen!$K$216=C18,Begegnungen!$K$217=C18,Begegnungen!$K$218=C18,Begegnungen!$K$219=C18),Begegnungen!$K$223,""))</f>
        <v/>
      </c>
      <c r="AF18" s="136" t="str">
        <f>IF(OR(Begegnungen!$C241=C18,Begegnungen!$C$230=C18,Begegnungen!$C$231=C18,Begegnungen!$C$232=C18,Begegnungen!$C$233=C18,Begegnungen!$C$234=C18,Begegnungen!$C$235=C18),Begegnungen!$C$239,IF(OR(Begegnungen!$E$229=C18,Begegnungen!$E$230=C18,Begegnungen!$E$231=C18,Begegnungen!$E$232=C18,Begegnungen!$E$233=C18,Begegnungen!$E$234=C18,Begegnungen!$E$235=C18),Begegnungen!$E$239,""))</f>
        <v/>
      </c>
      <c r="AG18" s="66" t="str">
        <f>IF(OR(Begegnungen!$I241=C18,Begegnungen!$I$230=C18,Begegnungen!$I$231=C18,Begegnungen!$I$232=C18,Begegnungen!$I$233=C18,Begegnungen!$I$234=C18,Begegnungen!$I$235=C18),Begegnungen!$I$239,IF(OR(Begegnungen!$K$229=C18,Begegnungen!$K$230=C18,Begegnungen!$K$231=C18,Begegnungen!$K$232=C18,Begegnungen!$K$233=C18,Begegnungen!$K$234=C18,Begegnungen!$K$235=C18),Begegnungen!$K$239,""))</f>
        <v/>
      </c>
      <c r="AH18" s="66" t="str">
        <f>IF(OR(Begegnungen!$C257=C18,Begegnungen!$C$246=C18,Begegnungen!$C$247=C18,Begegnungen!$C$248=C18,Begegnungen!$C$249=C18,Begegnungen!$C$250=C18,Begegnungen!$C$251=C18),Begegnungen!$C$255,IF(OR(Begegnungen!$E$245=C18,Begegnungen!$E$246=C18,Begegnungen!$E$247=C18,Begegnungen!$E$248=C18,Begegnungen!$E$249=C18,Begegnungen!$E$250=C18,Begegnungen!$E$251=C18),Begegnungen!$E$255,""))</f>
        <v/>
      </c>
      <c r="AI18" s="66" t="str">
        <f>IF(OR(Begegnungen!$I257=C18,Begegnungen!$I$246=C18,Begegnungen!$I$247=C18,Begegnungen!$I$248=C18,Begegnungen!$I$249=C18,Begegnungen!$I$250=C18,Begegnungen!$I$251=C18),Begegnungen!$I$255,IF(OR(Begegnungen!$K$245=C18,Begegnungen!$K$246=C18,Begegnungen!$K$247=C18,Begegnungen!$K$248=C18,Begegnungen!$K$249=C18,Begegnungen!$K$250=C18,Begegnungen!$K$251=C18),Begegnungen!$K$255,""))</f>
        <v/>
      </c>
      <c r="AJ18" s="66" t="str">
        <f>IF(OR(Begegnungen!$C273=C18,Begegnungen!$C$262=C18,Begegnungen!$C$263=C18,Begegnungen!$C$264=C18,Begegnungen!$C$265=C18,Begegnungen!$C$266=C18,Begegnungen!$C$267=C18),Begegnungen!$C$271,IF(OR(Begegnungen!$E$261=C18,Begegnungen!$E$262=C18,Begegnungen!$E$263=C18,Begegnungen!$E$264=C18,Begegnungen!$E$265=C18,Begegnungen!$E$266=C18,Begegnungen!$E$267=C18),Begegnungen!$E$271,""))</f>
        <v/>
      </c>
      <c r="AK18" s="66" t="str">
        <f>IF(OR(Begegnungen!$I273=C18,Begegnungen!$I$262=C18,Begegnungen!$I$263=C18,Begegnungen!$I$264=C18,Begegnungen!$I$265=C18,Begegnungen!$I$266=C18,Begegnungen!$I$267=C18),Begegnungen!$I$271,IF(OR(Begegnungen!$K$261=C18,Begegnungen!$K$262=C18,Begegnungen!$K$263=C18,Begegnungen!$K$264=C18,Begegnungen!$K$265=C18,Begegnungen!$K$266=C18,Begegnungen!$K$267=C18),Begegnungen!$K$271,""))</f>
        <v/>
      </c>
      <c r="AL18" s="66" t="str">
        <f>IF(OR(Begegnungen!$C289=C18,Begegnungen!$C$278=C18,Begegnungen!$C$279=C18,Begegnungen!$C$280=C18,Begegnungen!$C$281=C18,Begegnungen!$C$282=C18,Begegnungen!$C$283=C18),Begegnungen!$C$287,IF(OR(Begegnungen!$E$277=C18,Begegnungen!$E$278=C18,Begegnungen!$E$279=C18,Begegnungen!$E$280=C18,Begegnungen!$E$281=C18,Begegnungen!$E$282=C18,Begegnungen!$E$283=C18),Begegnungen!$E$287,""))</f>
        <v/>
      </c>
      <c r="AM18" s="136" t="str">
        <f>IF(OR(Begegnungen!$I289=C18,Begegnungen!$I$278=C18,Begegnungen!$I$279=C18,Begegnungen!$I$280=C18,Begegnungen!$I$281=C18,Begegnungen!$I$282=C18,Begegnungen!$I$283=C18),Begegnungen!$I$287,IF(OR(Begegnungen!$K$277=C18,Begegnungen!$K$278=C18,Begegnungen!$K$279=C18,Begegnungen!$K$280=C18,Begegnungen!$K$281=C18,Begegnungen!$K$282=C18,Begegnungen!$K$283=C18),Begegnungen!$K$287,""))</f>
        <v/>
      </c>
      <c r="AN18" s="66" t="str">
        <f>IF(OR(Begegnungen!$C305=C18,Begegnungen!$C$294=C18,Begegnungen!$C$295=C18,Begegnungen!$C$296=C18,Begegnungen!$C$297=C18,Begegnungen!$C$298=C18,Begegnungen!$C$299=C18),Begegnungen!$C$303,IF(OR(Begegnungen!$E$293=C18,Begegnungen!$E$294=C18,Begegnungen!$E$295=C18,Begegnungen!$E$296=C18,Begegnungen!$E$297=C18,Begegnungen!$E$298=C18,Begegnungen!$E$299=C18),Begegnungen!$E$303,""))</f>
        <v/>
      </c>
      <c r="AO18" s="136" t="str">
        <f>IF(OR(Begegnungen!$I305=C18,Begegnungen!$I$294=C18,Begegnungen!$I$295=C18,Begegnungen!$I$296=C18,Begegnungen!$I$297=C18,Begegnungen!$I$298=C18,Begegnungen!$I$299=C18),Begegnungen!$I$303,IF(OR(Begegnungen!$K$293=C18,Begegnungen!$K$294=C18,Begegnungen!$K$295=C18,Begegnungen!$K$296=C18,Begegnungen!$K$297=C18,Begegnungen!$K$298=C18,Begegnungen!$K$299=C18),Begegnungen!$K$303,""))</f>
        <v/>
      </c>
      <c r="AP18" s="136" t="str">
        <f>IF(OR(Begegnungen!$C321=C18,Begegnungen!$C$310=C18,Begegnungen!$C$311=C18,Begegnungen!$C$312=C18,Begegnungen!$C$313=C18,Begegnungen!$C$314=C18,Begegnungen!$C$315=C18),Begegnungen!$C$319,IF(OR(Begegnungen!$E$309=C18,Begegnungen!$E$310=C18,Begegnungen!$E$311=C18,Begegnungen!$E$312=C18,Begegnungen!$E$313=C18,Begegnungen!$E$314=C18,Begegnungen!$E$315=C18),Begegnungen!$E$319,""))</f>
        <v/>
      </c>
      <c r="AQ18" s="66" t="str">
        <f>IF(OR(Begegnungen!$I321=C18,Begegnungen!$I$310=C18,Begegnungen!$I$311=C18,Begegnungen!$I$312=C18,Begegnungen!$I$313=C18,Begegnungen!$I$314=C18,Begegnungen!$I$315=C18),Begegnungen!$I$319,IF(OR(Begegnungen!$K$309=C18,Begegnungen!$K$310=C18,Begegnungen!$K$311=C18,Begegnungen!$K$312=C18,Begegnungen!$K$313=C18,Begegnungen!$K$314=C18,Begegnungen!$K$315=C18),Begegnungen!$K$319,""))</f>
        <v/>
      </c>
      <c r="AR18" s="25">
        <f t="shared" si="0"/>
        <v>0</v>
      </c>
      <c r="AS18" s="139">
        <f>Spiele!AS18</f>
        <v>0</v>
      </c>
      <c r="AT18" s="140" t="e">
        <f t="shared" si="1"/>
        <v>#DIV/0!</v>
      </c>
    </row>
    <row r="19" spans="2:46" x14ac:dyDescent="0.25">
      <c r="B19" s="4">
        <v>14</v>
      </c>
      <c r="C19" s="146" t="s">
        <v>27</v>
      </c>
      <c r="D19" s="148" t="str">
        <f>IF(OR(Begegnungen!$C$3=C19,Begegnungen!$C$4=C19,Begegnungen!$C$5=C19,Begegnungen!$C$6=C19,Begegnungen!$C$7=C19,Begegnungen!$C$8=C19,Begegnungen!$C$9=C19),Begegnungen!$C$13,IF(OR(Begegnungen!$E$3=C19,Begegnungen!$E$4=C19,Begegnungen!$E$5=C19,Begegnungen!$E$6=C19,Begegnungen!$E$7=C19,Begegnungen!$E$8=C19,Begegnungen!$E$9=C19),Begegnungen!$E$13,""))</f>
        <v/>
      </c>
      <c r="E19" s="66">
        <f>IF(OR(Begegnungen!$I$3=C19,Begegnungen!$I$4=C19,Begegnungen!$I$5=C19,Begegnungen!$I$6=C19,Begegnungen!$I$7=C19,Begegnungen!$I$8=C19,Begegnungen!$I$9=C19),Begegnungen!$I$13,IF(OR(Begegnungen!$K$3=C19,Begegnungen!$K$4=C19,Begegnungen!$K$5=C19,Begegnungen!$K$6=C19,Begegnungen!$K$7=C19,Begegnungen!$K$8=C19,Begegnungen!$K$9=C19),Begegnungen!$K$13,""))</f>
        <v>1</v>
      </c>
      <c r="F19" s="66" t="str">
        <f>IF(OR(Begegnungen!$C$19=C19,Begegnungen!$C$20=C19,Begegnungen!$C$21=C19,Begegnungen!$C$22=C19,Begegnungen!$C$23=C19,Begegnungen!$C$24=C19,Begegnungen!$C$25=C19),Begegnungen!$C$29,IF(OR(Begegnungen!$E$19=C19,Begegnungen!$E$20=C19,Begegnungen!$E$21=C19,Begegnungen!$E$22=C19,Begegnungen!$E$23=C19,Begegnungen!$E$24=C19,Begegnungen!$E$25=C19),Begegnungen!$E$29,""))</f>
        <v/>
      </c>
      <c r="G19" s="66" t="str">
        <f>IF(OR(Begegnungen!$I$19=C19,Begegnungen!$I$20=C19,Begegnungen!$I$21=C19,Begegnungen!$I$22=C19,Begegnungen!$I$23=C19,Begegnungen!$I$24=C19,Begegnungen!$I$25=C19),Begegnungen!$I$29,IF(OR(Begegnungen!$K$19=C19,Begegnungen!$K$20=C19,Begegnungen!$K$21=C19,Begegnungen!$K$22=C19,Begegnungen!$K$23=C19,Begegnungen!$K$24=C19,Begegnungen!$K$25=C19),Begegnungen!$K$29,""))</f>
        <v/>
      </c>
      <c r="H19" s="66">
        <f>IF(OR(Begegnungen!$C$35=C19,Begegnungen!$C$36=C19,Begegnungen!$C$37=C19,Begegnungen!$C$38=C19,Begegnungen!$C$39=C19,Begegnungen!$C$40=C19,Begegnungen!$C$41=C19),Begegnungen!$C$46,IF(OR(Begegnungen!$E$35=C19,Begegnungen!$E$36=C19,Begegnungen!$E$37=C19,Begegnungen!$E$38=C19,Begegnungen!$E$39=C19,Begegnungen!$E$40=C19,Begegnungen!$E$41=C19),Begegnungen!$E$46,""))</f>
        <v>1</v>
      </c>
      <c r="I19" s="66">
        <f>IF(OR(Begegnungen!$I$35=C19,Begegnungen!$I$36=C19,Begegnungen!$I$37=C19,Begegnungen!$I$38=C19,Begegnungen!$I$39=C19,Begegnungen!$I$40=C19,Begegnungen!$I$41=C19),Begegnungen!$I$46,IF(OR(Begegnungen!$K$35=C19,Begegnungen!$K$36=C19,Begegnungen!$K$37=C19,Begegnungen!$K$38=C19,Begegnungen!$K$39=C19,Begegnungen!$K$40=C19,Begegnungen!$K$41=C19),Begegnungen!$K$46,""))</f>
        <v>3</v>
      </c>
      <c r="J19" s="136">
        <f>IF(OR(Begegnungen!$C$52=C19,Begegnungen!$C$53=C19,Begegnungen!$C$54=C19,Begegnungen!$C$55=C19,Begegnungen!$C$56=C19,Begegnungen!$C$57=C19,Begegnungen!$C$58=C19),Begegnungen!$C$62,IF(OR(Begegnungen!$E$52=C19,Begegnungen!$E$53=C19,Begegnungen!$E$54=C19,Begegnungen!$E$55=C19,Begegnungen!$E$56=C19,Begegnungen!$E$57=C19,Begegnungen!$E$58=C19),Begegnungen!$E$62,""))</f>
        <v>3</v>
      </c>
      <c r="K19" s="66">
        <f>IF(OR(Begegnungen!$I$52=C19,Begegnungen!$I$53=C19,Begegnungen!$I$54=C19,Begegnungen!$I$55=C19,Begegnungen!$I$56=C19,Begegnungen!$I$57=C19,Begegnungen!$I$58=C19),Begegnungen!$I$62,IF(OR(Begegnungen!$K$52=C19,Begegnungen!$K$53=C19,Begegnungen!$K$54=C19,Begegnungen!$K$55=C19,Begegnungen!$K$56=C19,Begegnungen!$K$57=C19,Begegnungen!$K$58=C19),Begegnungen!$K$62,""))</f>
        <v>1</v>
      </c>
      <c r="L19" s="136" t="str">
        <f>IF(OR(Begegnungen!$C81=C19,Begegnungen!$C$69=C19,Begegnungen!$C$70=C19,Begegnungen!$C$71=C19,Begegnungen!$C$72=C19,Begegnungen!$C$73=C19,Begegnungen!$C$74=C19),Begegnungen!$C$78,IF(OR(Begegnungen!$E$68=C19,Begegnungen!$E$69=C19,Begegnungen!$E$70=C19,Begegnungen!$E$71=C19,Begegnungen!$E$72=C19,Begegnungen!$E$73=C19,Begegnungen!$E$74=C19),Begegnungen!$E$78,""))</f>
        <v/>
      </c>
      <c r="M19" s="66">
        <f>IF(OR(Begegnungen!$I81=C19,Begegnungen!$I$69=C19,Begegnungen!$I$70=C19,Begegnungen!$I$71=C19,Begegnungen!$I$72=C19,Begegnungen!$I$73=C19,Begegnungen!$I$74=C19),Begegnungen!$I$78,IF(OR(Begegnungen!$K$68=C19,Begegnungen!$K$69=C19,Begegnungen!$K$70=C19,Begegnungen!$K$71=C19,Begegnungen!$K$72=C19,Begegnungen!$K$73=C19,Begegnungen!$K$74=C19),Begegnungen!$K$78,""))</f>
        <v>1</v>
      </c>
      <c r="N19" s="66">
        <f>IF(OR(Begegnungen!$C98=C19,Begegnungen!$C$85=C19,Begegnungen!$C$86=C19,Begegnungen!$C$87=C19,Begegnungen!$C$88=C19,Begegnungen!$C$89=C19,Begegnungen!$C$90=C19),Begegnungen!$C$95,IF(OR(Begegnungen!$E$84=C19,Begegnungen!$E$85=C19,Begegnungen!$E$86=C19,Begegnungen!$E$87=C19,Begegnungen!$E$88=C19,Begegnungen!$E$89=C19,Begegnungen!$E$90=C19),Begegnungen!$E$95,""))</f>
        <v>1</v>
      </c>
      <c r="O19" s="66" t="str">
        <f>IF(OR(Begegnungen!$I98=C19,Begegnungen!$I$85=C19,Begegnungen!$I$86=C19,Begegnungen!$I$87=C19,Begegnungen!$I$88=C19,Begegnungen!$I$89=C19,Begegnungen!$I$90=C19),Begegnungen!$I$95,IF(OR(Begegnungen!$K$84=C19,Begegnungen!$K$85=C19,Begegnungen!$K$86=C19,Begegnungen!$K$87=C19,Begegnungen!$K$88=C19,Begegnungen!$K$89=C19,Begegnungen!$K$90=C19),Begegnungen!$K$95,""))</f>
        <v/>
      </c>
      <c r="P19" s="66">
        <f>IF(OR(Begegnungen!$C114=C19,Begegnungen!$C$102=C19,Begegnungen!$C$103=C19,Begegnungen!$C$104=C19,Begegnungen!$C$105=C19,Begegnungen!$C$106=C19,Begegnungen!$C$107=C19),Begegnungen!$C$111,IF(OR(Begegnungen!$E$101=C19,Begegnungen!$E$102=C19,Begegnungen!$E$103=C19,Begegnungen!$E$104=C19,Begegnungen!$E$105=C19,Begegnungen!$E$106=C19,Begegnungen!$E$107=C19),Begegnungen!$E$111,""))</f>
        <v>3</v>
      </c>
      <c r="Q19" s="66" t="str">
        <f>IF(OR(Begegnungen!$I114=C19,Begegnungen!$I$102=C19,Begegnungen!$I$103=C19,Begegnungen!$I$104=C19,Begegnungen!$I$105=C19,Begegnungen!$I$106=C19,Begegnungen!$I$107=C19),Begegnungen!$I$111,IF(OR(Begegnungen!$K$101=C19,Begegnungen!$K$102=C19,Begegnungen!$K$103=C19,Begegnungen!$K$104=C19,Begegnungen!$K$105=C19,Begegnungen!$K$106=C19,Begegnungen!$K$107=C19),Begegnungen!$K$111,""))</f>
        <v/>
      </c>
      <c r="R19" s="136" t="str">
        <f>IF(OR(Begegnungen!$C130=C19,Begegnungen!$C$118=C19,Begegnungen!$C$119=C19,Begegnungen!$C$120=C19,Begegnungen!$C$121=C19,Begegnungen!$C$122=C19,Begegnungen!$C$123=C19),Begegnungen!$C$127,IF(OR(Begegnungen!$E$117=C19,Begegnungen!$E$118=C19,Begegnungen!$E$119=C19,Begegnungen!$E$120=C19,Begegnungen!$E$121=C19,Begegnungen!$E$122=C19,Begegnungen!$E$123=C19),Begegnungen!$E$127,""))</f>
        <v/>
      </c>
      <c r="S19" s="66">
        <f>IF(OR(Begegnungen!$I$117=C19,Begegnungen!$I$118=C19,Begegnungen!$I$119=C19,Begegnungen!$I$120=C19,Begegnungen!$I$121=C19,Begegnungen!$I$122=C19,Begegnungen!$I$123=C19),Begegnungen!$I$127,IF(OR(Begegnungen!$K$117=C19,Begegnungen!$K$118=C19,Begegnungen!$K$119=C19,Begegnungen!$K$120=C19,Begegnungen!$K$121=C19,Begegnungen!$K$122=C19,Begegnungen!$K$123=C19),Begegnungen!$K$127,""))</f>
        <v>4</v>
      </c>
      <c r="T19" s="66" t="str">
        <f>IF(OR(Begegnungen!$C146=C19,Begegnungen!$C$134=C19,Begegnungen!$C$135=C19,Begegnungen!$C$136=C19,Begegnungen!$C$137=C19,Begegnungen!$C$138=C19,Begegnungen!$C$139=C19),Begegnungen!$C$143,IF(OR(Begegnungen!$E$133=C19,Begegnungen!$E$134=C19,Begegnungen!$E$135=C19,Begegnungen!$E$136=C19,Begegnungen!$E$137=C19,Begegnungen!$E$138=C19,Begegnungen!$E$139=C19),Begegnungen!$E$143,""))</f>
        <v/>
      </c>
      <c r="U19" s="66">
        <f>IF(OR(Begegnungen!$I146=C19,Begegnungen!$I$134=C19,Begegnungen!$I$135=C19,Begegnungen!$I$136=C19,Begegnungen!$I$137=C19,Begegnungen!$I$138=C19,Begegnungen!$I$139=C19),Begegnungen!$I$143,IF(OR(Begegnungen!$K$133=C19,Begegnungen!$K$134=C19,Begegnungen!$K$135=C19,Begegnungen!$K$136=C19,Begegnungen!$K$137=C19,Begegnungen!$K$138=C19,Begegnungen!$K$139=C19),Begegnungen!$K$143,""))</f>
        <v>1</v>
      </c>
      <c r="V19" s="66">
        <f>IF(OR(Begegnungen!$C162=C19,Begegnungen!$C$150=C19,Begegnungen!$C$151=C19,Begegnungen!$C$152=C19,Begegnungen!$C$153=C19,Begegnungen!$C$154=C19,Begegnungen!$C$155=C19),Begegnungen!$C$159,IF(OR(Begegnungen!$E$149=C19,Begegnungen!$E$150=C19,Begegnungen!$E$151=C19,Begegnungen!$E$152=C19,Begegnungen!$E$153=C19,Begegnungen!$E$154=C19,Begegnungen!$E$155=C19),Begegnungen!$E$159,""))</f>
        <v>0</v>
      </c>
      <c r="W19" s="66" t="str">
        <f>IF(OR(Begegnungen!$I162=C19,Begegnungen!$I$150=C19,Begegnungen!$I$151=C19,Begegnungen!$I$152=C19,Begegnungen!$I$153=C19,Begegnungen!$I$154=C19,Begegnungen!$I$155=C19),Begegnungen!$I$159,IF(OR(Begegnungen!$K$149=C19,Begegnungen!$K$150=C19,Begegnungen!$K$151=C19,Begegnungen!$K$152=C19,Begegnungen!$K$153=C19,Begegnungen!$K$154=C19,Begegnungen!$K$155=C19),Begegnungen!$K$159,""))</f>
        <v/>
      </c>
      <c r="X19" s="66">
        <f>IF(OR(Begegnungen!$C178=C19,Begegnungen!$C$166=C19,Begegnungen!$C$167=C19,Begegnungen!$C$168=C19,Begegnungen!$C$169=C19,Begegnungen!$C$170=C19,Begegnungen!$C$171=C19),Begegnungen!$C$175,IF(OR(Begegnungen!$E$165=C19,Begegnungen!$E$166=C19,Begegnungen!$E$167=C19,Begegnungen!$E$168=C19,Begegnungen!$E$169=C19,Begegnungen!$E$170=C19,Begegnungen!$E$171=C19),Begegnungen!$E$175,""))</f>
        <v>7</v>
      </c>
      <c r="Y19" s="66">
        <f>IF(OR(Begegnungen!$I178=C19,Begegnungen!$I$166=C19,Begegnungen!$I$167=C19,Begegnungen!$I$168=C19,Begegnungen!$I$169=C19,Begegnungen!$I$170=C19,Begegnungen!$I$171=C19),Begegnungen!$I$175,IF(OR(Begegnungen!$K$165=C19,Begegnungen!$K$166=C19,Begegnungen!$K$167=C19,Begegnungen!$K$168=C19,Begegnungen!$K$169=C19,Begegnungen!$K$170=C19,Begegnungen!$K$171=C19),Begegnungen!$K$175,""))</f>
        <v>0</v>
      </c>
      <c r="Z19" s="66" t="str">
        <f>IF(OR(Begegnungen!$C194=C19,Begegnungen!$C$182=C19,Begegnungen!$C$183=C19,Begegnungen!$C$184=C19,Begegnungen!$C$185=C19,Begegnungen!$C$186=C19,Begegnungen!$C$187=C19),Begegnungen!$C$191,IF(OR(Begegnungen!$E$181=C19,Begegnungen!$E$182=C19,Begegnungen!$E$183=C19,Begegnungen!$E$184=C19,Begegnungen!$E$185=C19,Begegnungen!$E$186=C19,Begegnungen!$E$187=C19),Begegnungen!$E$191,""))</f>
        <v/>
      </c>
      <c r="AA19" s="66">
        <f>IF(OR(Begegnungen!$I194=C19,Begegnungen!$I$182=C19,Begegnungen!$I$183=C19,Begegnungen!$I$184=C19,Begegnungen!$I$185=C19,Begegnungen!$I$186=C19,Begegnungen!$I$187=C19),Begegnungen!$I$191,IF(OR(Begegnungen!$K$181=C19,Begegnungen!$K$182=C19,Begegnungen!$K$183=C19,Begegnungen!$K$184=C19,Begegnungen!$K$185=C19,Begegnungen!$K$186=C19,Begegnungen!$K$187=C19),Begegnungen!$K$191,""))</f>
        <v>2</v>
      </c>
      <c r="AB19" s="66" t="str">
        <f>IF(OR(Begegnungen!$C210=C19,Begegnungen!$C$198=C19,Begegnungen!$C$199=C19,Begegnungen!$C$200=C19,Begegnungen!$C$201=C19,Begegnungen!$C$202=C19,Begegnungen!$C$203=C19),Begegnungen!$C$207,IF(OR(Begegnungen!$E$197=C19,Begegnungen!$E$198=C19,Begegnungen!$E$199=C19,Begegnungen!$E$200=C19,Begegnungen!$E$201=C19,Begegnungen!$E$202=C19,Begegnungen!$E$203=C19),Begegnungen!$E$207,""))</f>
        <v/>
      </c>
      <c r="AC19" s="66">
        <f>IF(OR(Begegnungen!$I210=C19,Begegnungen!$I$198=C19,Begegnungen!$I$199=C19,Begegnungen!$I$200=C19,Begegnungen!$I$201=C19,Begegnungen!$I$202=C19,Begegnungen!$I$203=C19),Begegnungen!$I$207,IF(OR(Begegnungen!$K$197=C19,Begegnungen!$K$198=C19,Begegnungen!$K$199=C19,Begegnungen!$K$200=C19,Begegnungen!$K$201=C19,Begegnungen!$K$202=C19,Begegnungen!$K$203=C19),Begegnungen!$K$207,""))</f>
        <v>5</v>
      </c>
      <c r="AD19" s="66" t="str">
        <f>IF(OR(Begegnungen!$C226=C19,Begegnungen!$C$214=C19,Begegnungen!$C$215=C19,Begegnungen!$C$216=C19,Begegnungen!$C$217=C19,Begegnungen!$C$218=C19,Begegnungen!$C$219=C19),Begegnungen!$C$223,IF(OR(Begegnungen!$E$213=C19,Begegnungen!$E$214=C19,Begegnungen!$E$215=C19,Begegnungen!$E$216=C19,Begegnungen!$E$217=C19,Begegnungen!$E$218=C19,Begegnungen!$E$219=C19),Begegnungen!$E$223,""))</f>
        <v/>
      </c>
      <c r="AE19" s="66">
        <f>IF(OR(Begegnungen!$I226=C19,Begegnungen!$I$214=C19,Begegnungen!$I$215=C19,Begegnungen!$I$216=C19,Begegnungen!$I$217=C19,Begegnungen!$I$218=C19,Begegnungen!$I$219=C19),Begegnungen!$I$223,IF(OR(Begegnungen!$K$213=C19,Begegnungen!$K$214=C19,Begegnungen!$K$215=C19,Begegnungen!$K$216=C19,Begegnungen!$K$217=C19,Begegnungen!$K$218=C19,Begegnungen!$K$219=C19),Begegnungen!$K$223,""))</f>
        <v>4</v>
      </c>
      <c r="AF19" s="136">
        <f>IF(OR(Begegnungen!$C242=C19,Begegnungen!$C$230=C19,Begegnungen!$C$231=C19,Begegnungen!$C$232=C19,Begegnungen!$C$233=C19,Begegnungen!$C$234=C19,Begegnungen!$C$235=C19),Begegnungen!$C$239,IF(OR(Begegnungen!$E$229=C19,Begegnungen!$E$230=C19,Begegnungen!$E$231=C19,Begegnungen!$E$232=C19,Begegnungen!$E$233=C19,Begegnungen!$E$234=C19,Begegnungen!$E$235=C19),Begegnungen!$E$239,""))</f>
        <v>4</v>
      </c>
      <c r="AG19" s="66">
        <f>IF(OR(Begegnungen!$I242=C19,Begegnungen!$I$230=C19,Begegnungen!$I$231=C19,Begegnungen!$I$232=C19,Begegnungen!$I$233=C19,Begegnungen!$I$234=C19,Begegnungen!$I$235=C19),Begegnungen!$I$239,IF(OR(Begegnungen!$K$229=C19,Begegnungen!$K$230=C19,Begegnungen!$K$231=C19,Begegnungen!$K$232=C19,Begegnungen!$K$233=C19,Begegnungen!$K$234=C19,Begegnungen!$K$235=C19),Begegnungen!$K$239,""))</f>
        <v>5</v>
      </c>
      <c r="AH19" s="66" t="str">
        <f>IF(OR(Begegnungen!$C258=C19,Begegnungen!$C$246=C19,Begegnungen!$C$247=C19,Begegnungen!$C$248=C19,Begegnungen!$C$249=C19,Begegnungen!$C$250=C19,Begegnungen!$C$251=C19),Begegnungen!$C$255,IF(OR(Begegnungen!$E$245=C19,Begegnungen!$E$246=C19,Begegnungen!$E$247=C19,Begegnungen!$E$248=C19,Begegnungen!$E$249=C19,Begegnungen!$E$250=C19,Begegnungen!$E$251=C19),Begegnungen!$E$255,""))</f>
        <v/>
      </c>
      <c r="AI19" s="66" t="str">
        <f>IF(OR(Begegnungen!$I258=C19,Begegnungen!$I$246=C19,Begegnungen!$I$247=C19,Begegnungen!$I$248=C19,Begegnungen!$I$249=C19,Begegnungen!$I$250=C19,Begegnungen!$I$251=C19),Begegnungen!$I$255,IF(OR(Begegnungen!$K$245=C19,Begegnungen!$K$246=C19,Begegnungen!$K$247=C19,Begegnungen!$K$248=C19,Begegnungen!$K$249=C19,Begegnungen!$K$250=C19,Begegnungen!$K$251=C19),Begegnungen!$K$255,""))</f>
        <v/>
      </c>
      <c r="AJ19" s="66" t="str">
        <f>IF(OR(Begegnungen!$C274=C19,Begegnungen!$C$262=C19,Begegnungen!$C$263=C19,Begegnungen!$C$264=C19,Begegnungen!$C$265=C19,Begegnungen!$C$266=C19,Begegnungen!$C$267=C19),Begegnungen!$C$271,IF(OR(Begegnungen!$E$261=C19,Begegnungen!$E$262=C19,Begegnungen!$E$263=C19,Begegnungen!$E$264=C19,Begegnungen!$E$265=C19,Begegnungen!$E$266=C19,Begegnungen!$E$267=C19),Begegnungen!$E$271,""))</f>
        <v/>
      </c>
      <c r="AK19" s="66">
        <f>IF(OR(Begegnungen!$I274=C19,Begegnungen!$I$262=C19,Begegnungen!$I$263=C19,Begegnungen!$I$264=C19,Begegnungen!$I$265=C19,Begegnungen!$I$266=C19,Begegnungen!$I$267=C19),Begegnungen!$I$271,IF(OR(Begegnungen!$K$261=C19,Begegnungen!$K$262=C19,Begegnungen!$K$263=C19,Begegnungen!$K$264=C19,Begegnungen!$K$265=C19,Begegnungen!$K$266=C19,Begegnungen!$K$267=C19),Begegnungen!$K$271,""))</f>
        <v>1</v>
      </c>
      <c r="AL19" s="66" t="str">
        <f>IF(OR(Begegnungen!$C290=C19,Begegnungen!$C$278=C19,Begegnungen!$C$279=C19,Begegnungen!$C$280=C19,Begegnungen!$C$281=C19,Begegnungen!$C$282=C19,Begegnungen!$C$283=C19),Begegnungen!$C$287,IF(OR(Begegnungen!$E$277=C19,Begegnungen!$E$278=C19,Begegnungen!$E$279=C19,Begegnungen!$E$280=C19,Begegnungen!$E$281=C19,Begegnungen!$E$282=C19,Begegnungen!$E$283=C19),Begegnungen!$E$287,""))</f>
        <v/>
      </c>
      <c r="AM19" s="136">
        <f>IF(OR(Begegnungen!$I290=C19,Begegnungen!$I$278=C19,Begegnungen!$I$279=C19,Begegnungen!$I$280=C19,Begegnungen!$I$281=C19,Begegnungen!$I$282=C19,Begegnungen!$I$283=C19),Begegnungen!$I$287,IF(OR(Begegnungen!$K$277=C19,Begegnungen!$K$278=C19,Begegnungen!$K$279=C19,Begegnungen!$K$280=C19,Begegnungen!$K$281=C19,Begegnungen!$K$282=C19,Begegnungen!$K$283=C19),Begegnungen!$K$287,""))</f>
        <v>2</v>
      </c>
      <c r="AN19" s="66">
        <f>IF(OR(Begegnungen!$C306=C19,Begegnungen!$C$294=C19,Begegnungen!$C$295=C19,Begegnungen!$C$296=C19,Begegnungen!$C$297=C19,Begegnungen!$C$298=C19,Begegnungen!$C$299=C19),Begegnungen!$C$303,IF(OR(Begegnungen!$E$293=C19,Begegnungen!$E$294=C19,Begegnungen!$E$295=C19,Begegnungen!$E$296=C19,Begegnungen!$E$297=C19,Begegnungen!$E$298=C19,Begegnungen!$E$299=C19),Begegnungen!$E$303,""))</f>
        <v>0</v>
      </c>
      <c r="AO19" s="136" t="str">
        <f>IF(OR(Begegnungen!$I306=C19,Begegnungen!$I$294=C19,Begegnungen!$I$295=C19,Begegnungen!$I$296=C19,Begegnungen!$I$297=C19,Begegnungen!$I$298=C19,Begegnungen!$I$299=C19),Begegnungen!$I$303,IF(OR(Begegnungen!$K$293=C19,Begegnungen!$K$294=C19,Begegnungen!$K$295=C19,Begegnungen!$K$296=C19,Begegnungen!$K$297=C19,Begegnungen!$K$298=C19,Begegnungen!$K$299=C19),Begegnungen!$K$303,""))</f>
        <v/>
      </c>
      <c r="AP19" s="136">
        <f>IF(OR(Begegnungen!$C322=C19,Begegnungen!$C$310=C19,Begegnungen!$C$311=C19,Begegnungen!$C$312=C19,Begegnungen!$C$313=C19,Begegnungen!$C$314=C19,Begegnungen!$C$315=C19),Begegnungen!$C$319,IF(OR(Begegnungen!$E$309=C19,Begegnungen!$E$310=C19,Begegnungen!$E$311=C19,Begegnungen!$E$312=C19,Begegnungen!$E$313=C19,Begegnungen!$E$314=C19,Begegnungen!$E$315=C19),Begegnungen!$E$319,""))</f>
        <v>7</v>
      </c>
      <c r="AQ19" s="66" t="str">
        <f>IF(OR(Begegnungen!$I322=C19,Begegnungen!$I$310=C19,Begegnungen!$I$311=C19,Begegnungen!$I$312=C19,Begegnungen!$I$313=C19,Begegnungen!$I$314=C19,Begegnungen!$I$315=C19),Begegnungen!$I$319,IF(OR(Begegnungen!$K$309=C19,Begegnungen!$K$310=C19,Begegnungen!$K$311=C19,Begegnungen!$K$312=C19,Begegnungen!$K$313=C19,Begegnungen!$K$314=C19,Begegnungen!$K$315=C19),Begegnungen!$K$319,""))</f>
        <v/>
      </c>
      <c r="AR19" s="25">
        <f t="shared" si="0"/>
        <v>56</v>
      </c>
      <c r="AS19" s="139">
        <f>Spiele!AS19</f>
        <v>22</v>
      </c>
      <c r="AT19" s="140">
        <f t="shared" si="1"/>
        <v>2.5454545454545454</v>
      </c>
    </row>
    <row r="20" spans="2:46" x14ac:dyDescent="0.25">
      <c r="B20" s="4">
        <v>15</v>
      </c>
      <c r="C20" s="146" t="s">
        <v>24</v>
      </c>
      <c r="D20" s="148" t="str">
        <f>IF(OR(Begegnungen!$C$3=C20,Begegnungen!$C$4=C20,Begegnungen!$C$5=C20,Begegnungen!$C$6=C20,Begegnungen!$C$7=C20,Begegnungen!$C$8=C20,Begegnungen!$C$9=C20),Begegnungen!$C$13,IF(OR(Begegnungen!$E$3=C20,Begegnungen!$E$4=C20,Begegnungen!$E$5=C20,Begegnungen!$E$6=C20,Begegnungen!$E$7=C20,Begegnungen!$E$8=C20,Begegnungen!$E$9=C20),Begegnungen!$E$13,""))</f>
        <v/>
      </c>
      <c r="E20" s="66" t="str">
        <f>IF(OR(Begegnungen!$I$3=C20,Begegnungen!$I$4=C20,Begegnungen!$I$5=C20,Begegnungen!$I$6=C20,Begegnungen!$I$7=C20,Begegnungen!$I$8=C20,Begegnungen!$I$9=C20),Begegnungen!$I$13,IF(OR(Begegnungen!$K$3=C20,Begegnungen!$K$4=C20,Begegnungen!$K$5=C20,Begegnungen!$K$6=C20,Begegnungen!$K$7=C20,Begegnungen!$K$8=C20,Begegnungen!$K$9=C20),Begegnungen!$K$13,""))</f>
        <v/>
      </c>
      <c r="F20" s="66" t="str">
        <f>IF(OR(Begegnungen!$C$19=C20,Begegnungen!$C$20=C20,Begegnungen!$C$21=C20,Begegnungen!$C$22=C20,Begegnungen!$C$23=C20,Begegnungen!$C$24=C20,Begegnungen!$C$25=C20),Begegnungen!$C$29,IF(OR(Begegnungen!$E$19=C20,Begegnungen!$E$20=C20,Begegnungen!$E$21=C20,Begegnungen!$E$22=C20,Begegnungen!$E$23=C20,Begegnungen!$E$24=C20,Begegnungen!$E$25=C20),Begegnungen!$E$29,""))</f>
        <v/>
      </c>
      <c r="G20" s="66" t="str">
        <f>IF(OR(Begegnungen!$I$19=C20,Begegnungen!$I$20=C20,Begegnungen!$I$21=C20,Begegnungen!$I$22=C20,Begegnungen!$I$23=C20,Begegnungen!$I$24=C20,Begegnungen!$I$25=C20),Begegnungen!$I$29,IF(OR(Begegnungen!$K$19=C20,Begegnungen!$K$20=C20,Begegnungen!$K$21=C20,Begegnungen!$K$22=C20,Begegnungen!$K$23=C20,Begegnungen!$K$24=C20,Begegnungen!$K$25=C20),Begegnungen!$K$29,""))</f>
        <v/>
      </c>
      <c r="H20" s="66" t="str">
        <f>IF(OR(Begegnungen!$C$35=C20,Begegnungen!$C$36=C20,Begegnungen!$C$37=C20,Begegnungen!$C$38=C20,Begegnungen!$C$39=C20,Begegnungen!$C$40=C20,Begegnungen!$C$41=C20),Begegnungen!$C$46,IF(OR(Begegnungen!$E$35=C20,Begegnungen!$E$36=C20,Begegnungen!$E$37=C20,Begegnungen!$E$38=C20,Begegnungen!$E$39=C20,Begegnungen!$E$40=C20,Begegnungen!$E$41=C20),Begegnungen!$E$46,""))</f>
        <v/>
      </c>
      <c r="I20" s="66" t="str">
        <f>IF(OR(Begegnungen!$I$35=C20,Begegnungen!$I$36=C20,Begegnungen!$I$37=C20,Begegnungen!$I$38=C20,Begegnungen!$I$39=C20,Begegnungen!$I$40=C20,Begegnungen!$I$41=C20),Begegnungen!$I$46,IF(OR(Begegnungen!$K$35=C20,Begegnungen!$K$36=C20,Begegnungen!$K$37=C20,Begegnungen!$K$38=C20,Begegnungen!$K$39=C20,Begegnungen!$K$40=C20,Begegnungen!$K$41=C20),Begegnungen!$K$46,""))</f>
        <v/>
      </c>
      <c r="J20" s="136" t="str">
        <f>IF(OR(Begegnungen!$C$52=C20,Begegnungen!$C$53=C20,Begegnungen!$C$54=C20,Begegnungen!$C$55=C20,Begegnungen!$C$56=C20,Begegnungen!$C$57=C20,Begegnungen!$C$58=C20),Begegnungen!$C$62,IF(OR(Begegnungen!$E$52=C20,Begegnungen!$E$53=C20,Begegnungen!$E$54=C20,Begegnungen!$E$55=C20,Begegnungen!$E$56=C20,Begegnungen!$E$57=C20,Begegnungen!$E$58=C20),Begegnungen!$E$62,""))</f>
        <v/>
      </c>
      <c r="K20" s="66" t="str">
        <f>IF(OR(Begegnungen!$I$52=C20,Begegnungen!$I$53=C20,Begegnungen!$I$54=C20,Begegnungen!$I$55=C20,Begegnungen!$I$56=C20,Begegnungen!$I$57=C20,Begegnungen!$I$58=C20),Begegnungen!$I$62,IF(OR(Begegnungen!$K$52=C20,Begegnungen!$K$53=C20,Begegnungen!$K$54=C20,Begegnungen!$K$55=C20,Begegnungen!$K$56=C20,Begegnungen!$K$57=C20,Begegnungen!$K$58=C20),Begegnungen!$K$62,""))</f>
        <v/>
      </c>
      <c r="L20" s="136" t="str">
        <f>IF(OR(Begegnungen!$C82=C20,Begegnungen!$C$69=C20,Begegnungen!$C$70=C20,Begegnungen!$C$71=C20,Begegnungen!$C$72=C20,Begegnungen!$C$73=C20,Begegnungen!$C$74=C20),Begegnungen!$C$78,IF(OR(Begegnungen!$E$68=C20,Begegnungen!$E$69=C20,Begegnungen!$E$70=C20,Begegnungen!$E$71=C20,Begegnungen!$E$72=C20,Begegnungen!$E$73=C20,Begegnungen!$E$74=C20),Begegnungen!$E$78,""))</f>
        <v/>
      </c>
      <c r="M20" s="66" t="str">
        <f>IF(OR(Begegnungen!$I82=C20,Begegnungen!$I$69=C20,Begegnungen!$I$70=C20,Begegnungen!$I$71=C20,Begegnungen!$I$72=C20,Begegnungen!$I$73=C20,Begegnungen!$I$74=C20),Begegnungen!$I$78,IF(OR(Begegnungen!$K$68=C20,Begegnungen!$K$69=C20,Begegnungen!$K$70=C20,Begegnungen!$K$71=C20,Begegnungen!$K$72=C20,Begegnungen!$K$73=C20,Begegnungen!$K$74=C20),Begegnungen!$K$78,""))</f>
        <v/>
      </c>
      <c r="N20" s="66" t="str">
        <f>IF(OR(Begegnungen!$C99=C20,Begegnungen!$C$85=C20,Begegnungen!$C$86=C20,Begegnungen!$C$87=C20,Begegnungen!$C$88=C20,Begegnungen!$C$89=C20,Begegnungen!$C$90=C20),Begegnungen!$C$95,IF(OR(Begegnungen!$E$84=C20,Begegnungen!$E$85=C20,Begegnungen!$E$86=C20,Begegnungen!$E$87=C20,Begegnungen!$E$88=C20,Begegnungen!$E$89=C20,Begegnungen!$E$90=C20),Begegnungen!$E$95,""))</f>
        <v/>
      </c>
      <c r="O20" s="66" t="str">
        <f>IF(OR(Begegnungen!$I99=C20,Begegnungen!$I$85=C20,Begegnungen!$I$86=C20,Begegnungen!$I$87=C20,Begegnungen!$I$88=C20,Begegnungen!$I$89=C20,Begegnungen!$I$90=C20),Begegnungen!$I$95,IF(OR(Begegnungen!$K$84=C20,Begegnungen!$K$85=C20,Begegnungen!$K$86=C20,Begegnungen!$K$87=C20,Begegnungen!$K$88=C20,Begegnungen!$K$89=C20,Begegnungen!$K$90=C20),Begegnungen!$K$95,""))</f>
        <v/>
      </c>
      <c r="P20" s="66" t="str">
        <f>IF(OR(Begegnungen!$C115=C20,Begegnungen!$C$102=C20,Begegnungen!$C$103=C20,Begegnungen!$C$104=C20,Begegnungen!$C$105=C20,Begegnungen!$C$106=C20,Begegnungen!$C$107=C20),Begegnungen!$C$111,IF(OR(Begegnungen!$E$101=C20,Begegnungen!$E$102=C20,Begegnungen!$E$103=C20,Begegnungen!$E$104=C20,Begegnungen!$E$105=C20,Begegnungen!$E$106=C20,Begegnungen!$E$107=C20),Begegnungen!$E$111,""))</f>
        <v/>
      </c>
      <c r="Q20" s="66" t="str">
        <f>IF(OR(Begegnungen!$I115=C20,Begegnungen!$I$102=C20,Begegnungen!$I$103=C20,Begegnungen!$I$104=C20,Begegnungen!$I$105=C20,Begegnungen!$I$106=C20,Begegnungen!$I$107=C20),Begegnungen!$I$111,IF(OR(Begegnungen!$K$101=C20,Begegnungen!$K$102=C20,Begegnungen!$K$103=C20,Begegnungen!$K$104=C20,Begegnungen!$K$105=C20,Begegnungen!$K$106=C20,Begegnungen!$K$107=C20),Begegnungen!$K$111,""))</f>
        <v/>
      </c>
      <c r="R20" s="136" t="str">
        <f>IF(OR(Begegnungen!$C131=C20,Begegnungen!$C$118=C20,Begegnungen!$C$119=C20,Begegnungen!$C$120=C20,Begegnungen!$C$121=C20,Begegnungen!$C$122=C20,Begegnungen!$C$123=C20),Begegnungen!$C$127,IF(OR(Begegnungen!$E$117=C20,Begegnungen!$E$118=C20,Begegnungen!$E$119=C20,Begegnungen!$E$120=C20,Begegnungen!$E$121=C20,Begegnungen!$E$122=C20,Begegnungen!$E$123=C20),Begegnungen!$E$127,""))</f>
        <v/>
      </c>
      <c r="S20" s="66" t="str">
        <f>IF(OR(Begegnungen!$I$117=C20,Begegnungen!$I$118=C20,Begegnungen!$I$119=C20,Begegnungen!$I$120=C20,Begegnungen!$I$121=C20,Begegnungen!$I$122=C20,Begegnungen!$I$123=C20),Begegnungen!$I$127,IF(OR(Begegnungen!$K$117=C20,Begegnungen!$K$118=C20,Begegnungen!$K$119=C20,Begegnungen!$K$120=C20,Begegnungen!$K$121=C20,Begegnungen!$K$122=C20,Begegnungen!$K$123=C20),Begegnungen!$K$127,""))</f>
        <v/>
      </c>
      <c r="T20" s="66" t="str">
        <f>IF(OR(Begegnungen!$C147=C20,Begegnungen!$C$134=C20,Begegnungen!$C$135=C20,Begegnungen!$C$136=C20,Begegnungen!$C$137=C20,Begegnungen!$C$138=C20,Begegnungen!$C$139=C20),Begegnungen!$C$143,IF(OR(Begegnungen!$E$133=C20,Begegnungen!$E$134=C20,Begegnungen!$E$135=C20,Begegnungen!$E$136=C20,Begegnungen!$E$137=C20,Begegnungen!$E$138=C20,Begegnungen!$E$139=C20),Begegnungen!$E$143,""))</f>
        <v/>
      </c>
      <c r="U20" s="66" t="str">
        <f>IF(OR(Begegnungen!$I147=C20,Begegnungen!$I$134=C20,Begegnungen!$I$135=C20,Begegnungen!$I$136=C20,Begegnungen!$I$137=C20,Begegnungen!$I$138=C20,Begegnungen!$I$139=C20),Begegnungen!$I$143,IF(OR(Begegnungen!$K$133=C20,Begegnungen!$K$134=C20,Begegnungen!$K$135=C20,Begegnungen!$K$136=C20,Begegnungen!$K$137=C20,Begegnungen!$K$138=C20,Begegnungen!$K$139=C20),Begegnungen!$K$143,""))</f>
        <v/>
      </c>
      <c r="V20" s="66" t="str">
        <f>IF(OR(Begegnungen!$C163=C20,Begegnungen!$C$150=C20,Begegnungen!$C$151=C20,Begegnungen!$C$152=C20,Begegnungen!$C$153=C20,Begegnungen!$C$154=C20,Begegnungen!$C$155=C20),Begegnungen!$C$159,IF(OR(Begegnungen!$E$149=C20,Begegnungen!$E$150=C20,Begegnungen!$E$151=C20,Begegnungen!$E$152=C20,Begegnungen!$E$153=C20,Begegnungen!$E$154=C20,Begegnungen!$E$155=C20),Begegnungen!$E$159,""))</f>
        <v/>
      </c>
      <c r="W20" s="66" t="str">
        <f>IF(OR(Begegnungen!$I163=C20,Begegnungen!$I$150=C20,Begegnungen!$I$151=C20,Begegnungen!$I$152=C20,Begegnungen!$I$153=C20,Begegnungen!$I$154=C20,Begegnungen!$I$155=C20),Begegnungen!$I$159,IF(OR(Begegnungen!$K$149=C20,Begegnungen!$K$150=C20,Begegnungen!$K$151=C20,Begegnungen!$K$152=C20,Begegnungen!$K$153=C20,Begegnungen!$K$154=C20,Begegnungen!$K$155=C20),Begegnungen!$K$159,""))</f>
        <v/>
      </c>
      <c r="X20" s="66" t="str">
        <f>IF(OR(Begegnungen!$C179=C20,Begegnungen!$C$166=C20,Begegnungen!$C$167=C20,Begegnungen!$C$168=C20,Begegnungen!$C$169=C20,Begegnungen!$C$170=C20,Begegnungen!$C$171=C20),Begegnungen!$C$175,IF(OR(Begegnungen!$E$165=C20,Begegnungen!$E$166=C20,Begegnungen!$E$167=C20,Begegnungen!$E$168=C20,Begegnungen!$E$169=C20,Begegnungen!$E$170=C20,Begegnungen!$E$171=C20),Begegnungen!$E$175,""))</f>
        <v/>
      </c>
      <c r="Y20" s="66" t="str">
        <f>IF(OR(Begegnungen!$I179=C20,Begegnungen!$I$166=C20,Begegnungen!$I$167=C20,Begegnungen!$I$168=C20,Begegnungen!$I$169=C20,Begegnungen!$I$170=C20,Begegnungen!$I$171=C20),Begegnungen!$I$175,IF(OR(Begegnungen!$K$165=C20,Begegnungen!$K$166=C20,Begegnungen!$K$167=C20,Begegnungen!$K$168=C20,Begegnungen!$K$169=C20,Begegnungen!$K$170=C20,Begegnungen!$K$171=C20),Begegnungen!$K$175,""))</f>
        <v/>
      </c>
      <c r="Z20" s="66" t="str">
        <f>IF(OR(Begegnungen!$C195=C20,Begegnungen!$C$182=C20,Begegnungen!$C$183=C20,Begegnungen!$C$184=C20,Begegnungen!$C$185=C20,Begegnungen!$C$186=C20,Begegnungen!$C$187=C20),Begegnungen!$C$191,IF(OR(Begegnungen!$E$181=C20,Begegnungen!$E$182=C20,Begegnungen!$E$183=C20,Begegnungen!$E$184=C20,Begegnungen!$E$185=C20,Begegnungen!$E$186=C20,Begegnungen!$E$187=C20),Begegnungen!$E$191,""))</f>
        <v/>
      </c>
      <c r="AA20" s="66" t="str">
        <f>IF(OR(Begegnungen!$I195=C20,Begegnungen!$I$182=C20,Begegnungen!$I$183=C20,Begegnungen!$I$184=C20,Begegnungen!$I$185=C20,Begegnungen!$I$186=C20,Begegnungen!$I$187=C20),Begegnungen!$I$191,IF(OR(Begegnungen!$K$181=C20,Begegnungen!$K$182=C20,Begegnungen!$K$183=C20,Begegnungen!$K$184=C20,Begegnungen!$K$185=C20,Begegnungen!$K$186=C20,Begegnungen!$K$187=C20),Begegnungen!$K$191,""))</f>
        <v/>
      </c>
      <c r="AB20" s="66" t="str">
        <f>IF(OR(Begegnungen!$C211=C20,Begegnungen!$C$198=C20,Begegnungen!$C$199=C20,Begegnungen!$C$200=C20,Begegnungen!$C$201=C20,Begegnungen!$C$202=C20,Begegnungen!$C$203=C20),Begegnungen!$C$207,IF(OR(Begegnungen!$E$197=C20,Begegnungen!$E$198=C20,Begegnungen!$E$199=C20,Begegnungen!$E$200=C20,Begegnungen!$E$201=C20,Begegnungen!$E$202=C20,Begegnungen!$E$203=C20),Begegnungen!$E$207,""))</f>
        <v/>
      </c>
      <c r="AC20" s="66" t="str">
        <f>IF(OR(Begegnungen!$I211=C20,Begegnungen!$I$198=C20,Begegnungen!$I$199=C20,Begegnungen!$I$200=C20,Begegnungen!$I$201=C20,Begegnungen!$I$202=C20,Begegnungen!$I$203=C20),Begegnungen!$I$207,IF(OR(Begegnungen!$K$197=C20,Begegnungen!$K$198=C20,Begegnungen!$K$199=C20,Begegnungen!$K$200=C20,Begegnungen!$K$201=C20,Begegnungen!$K$202=C20,Begegnungen!$K$203=C20),Begegnungen!$K$207,""))</f>
        <v/>
      </c>
      <c r="AD20" s="66" t="str">
        <f>IF(OR(Begegnungen!$C227=C20,Begegnungen!$C$214=C20,Begegnungen!$C$215=C20,Begegnungen!$C$216=C20,Begegnungen!$C$217=C20,Begegnungen!$C$218=C20,Begegnungen!$C$219=C20),Begegnungen!$C$223,IF(OR(Begegnungen!$E$213=C20,Begegnungen!$E$214=C20,Begegnungen!$E$215=C20,Begegnungen!$E$216=C20,Begegnungen!$E$217=C20,Begegnungen!$E$218=C20,Begegnungen!$E$219=C20),Begegnungen!$E$223,""))</f>
        <v/>
      </c>
      <c r="AE20" s="66" t="str">
        <f>IF(OR(Begegnungen!$I227=C20,Begegnungen!$I$214=C20,Begegnungen!$I$215=C20,Begegnungen!$I$216=C20,Begegnungen!$I$217=C20,Begegnungen!$I$218=C20,Begegnungen!$I$219=C20),Begegnungen!$I$223,IF(OR(Begegnungen!$K$213=C20,Begegnungen!$K$214=C20,Begegnungen!$K$215=C20,Begegnungen!$K$216=C20,Begegnungen!$K$217=C20,Begegnungen!$K$218=C20,Begegnungen!$K$219=C20),Begegnungen!$K$223,""))</f>
        <v/>
      </c>
      <c r="AF20" s="136" t="str">
        <f>IF(OR(Begegnungen!$C243=C20,Begegnungen!$C$230=C20,Begegnungen!$C$231=C20,Begegnungen!$C$232=C20,Begegnungen!$C$233=C20,Begegnungen!$C$234=C20,Begegnungen!$C$235=C20),Begegnungen!$C$239,IF(OR(Begegnungen!$E$229=C20,Begegnungen!$E$230=C20,Begegnungen!$E$231=C20,Begegnungen!$E$232=C20,Begegnungen!$E$233=C20,Begegnungen!$E$234=C20,Begegnungen!$E$235=C20),Begegnungen!$E$239,""))</f>
        <v/>
      </c>
      <c r="AG20" s="66" t="str">
        <f>IF(OR(Begegnungen!$I243=C20,Begegnungen!$I$230=C20,Begegnungen!$I$231=C20,Begegnungen!$I$232=C20,Begegnungen!$I$233=C20,Begegnungen!$I$234=C20,Begegnungen!$I$235=C20),Begegnungen!$I$239,IF(OR(Begegnungen!$K$229=C20,Begegnungen!$K$230=C20,Begegnungen!$K$231=C20,Begegnungen!$K$232=C20,Begegnungen!$K$233=C20,Begegnungen!$K$234=C20,Begegnungen!$K$235=C20),Begegnungen!$K$239,""))</f>
        <v/>
      </c>
      <c r="AH20" s="66" t="str">
        <f>IF(OR(Begegnungen!$C259=C20,Begegnungen!$C$246=C20,Begegnungen!$C$247=C20,Begegnungen!$C$248=C20,Begegnungen!$C$249=C20,Begegnungen!$C$250=C20,Begegnungen!$C$251=C20),Begegnungen!$C$255,IF(OR(Begegnungen!$E$245=C20,Begegnungen!$E$246=C20,Begegnungen!$E$247=C20,Begegnungen!$E$248=C20,Begegnungen!$E$249=C20,Begegnungen!$E$250=C20,Begegnungen!$E$251=C20),Begegnungen!$E$255,""))</f>
        <v/>
      </c>
      <c r="AI20" s="66" t="str">
        <f>IF(OR(Begegnungen!$I259=C20,Begegnungen!$I$246=C20,Begegnungen!$I$247=C20,Begegnungen!$I$248=C20,Begegnungen!$I$249=C20,Begegnungen!$I$250=C20,Begegnungen!$I$251=C20),Begegnungen!$I$255,IF(OR(Begegnungen!$K$245=C20,Begegnungen!$K$246=C20,Begegnungen!$K$247=C20,Begegnungen!$K$248=C20,Begegnungen!$K$249=C20,Begegnungen!$K$250=C20,Begegnungen!$K$251=C20),Begegnungen!$K$255,""))</f>
        <v/>
      </c>
      <c r="AJ20" s="66" t="str">
        <f>IF(OR(Begegnungen!$C275=C20,Begegnungen!$C$262=C20,Begegnungen!$C$263=C20,Begegnungen!$C$264=C20,Begegnungen!$C$265=C20,Begegnungen!$C$266=C20,Begegnungen!$C$267=C20),Begegnungen!$C$271,IF(OR(Begegnungen!$E$261=C20,Begegnungen!$E$262=C20,Begegnungen!$E$263=C20,Begegnungen!$E$264=C20,Begegnungen!$E$265=C20,Begegnungen!$E$266=C20,Begegnungen!$E$267=C20),Begegnungen!$E$271,""))</f>
        <v/>
      </c>
      <c r="AK20" s="66" t="str">
        <f>IF(OR(Begegnungen!$I275=C20,Begegnungen!$I$262=C20,Begegnungen!$I$263=C20,Begegnungen!$I$264=C20,Begegnungen!$I$265=C20,Begegnungen!$I$266=C20,Begegnungen!$I$267=C20),Begegnungen!$I$271,IF(OR(Begegnungen!$K$261=C20,Begegnungen!$K$262=C20,Begegnungen!$K$263=C20,Begegnungen!$K$264=C20,Begegnungen!$K$265=C20,Begegnungen!$K$266=C20,Begegnungen!$K$267=C20),Begegnungen!$K$271,""))</f>
        <v/>
      </c>
      <c r="AL20" s="66" t="str">
        <f>IF(OR(Begegnungen!$C291=C20,Begegnungen!$C$278=C20,Begegnungen!$C$279=C20,Begegnungen!$C$280=C20,Begegnungen!$C$281=C20,Begegnungen!$C$282=C20,Begegnungen!$C$283=C20),Begegnungen!$C$287,IF(OR(Begegnungen!$E$277=C20,Begegnungen!$E$278=C20,Begegnungen!$E$279=C20,Begegnungen!$E$280=C20,Begegnungen!$E$281=C20,Begegnungen!$E$282=C20,Begegnungen!$E$283=C20),Begegnungen!$E$287,""))</f>
        <v/>
      </c>
      <c r="AM20" s="136" t="str">
        <f>IF(OR(Begegnungen!$I291=C20,Begegnungen!$I$278=C20,Begegnungen!$I$279=C20,Begegnungen!$I$280=C20,Begegnungen!$I$281=C20,Begegnungen!$I$282=C20,Begegnungen!$I$283=C20),Begegnungen!$I$287,IF(OR(Begegnungen!$K$277=C20,Begegnungen!$K$278=C20,Begegnungen!$K$279=C20,Begegnungen!$K$280=C20,Begegnungen!$K$281=C20,Begegnungen!$K$282=C20,Begegnungen!$K$283=C20),Begegnungen!$K$287,""))</f>
        <v/>
      </c>
      <c r="AN20" s="66" t="str">
        <f>IF(OR(Begegnungen!$C307=C20,Begegnungen!$C$294=C20,Begegnungen!$C$295=C20,Begegnungen!$C$296=C20,Begegnungen!$C$297=C20,Begegnungen!$C$298=C20,Begegnungen!$C$299=C20),Begegnungen!$C$303,IF(OR(Begegnungen!$E$293=C20,Begegnungen!$E$294=C20,Begegnungen!$E$295=C20,Begegnungen!$E$296=C20,Begegnungen!$E$297=C20,Begegnungen!$E$298=C20,Begegnungen!$E$299=C20),Begegnungen!$E$303,""))</f>
        <v/>
      </c>
      <c r="AO20" s="136" t="str">
        <f>IF(OR(Begegnungen!$I307=C20,Begegnungen!$I$294=C20,Begegnungen!$I$295=C20,Begegnungen!$I$296=C20,Begegnungen!$I$297=C20,Begegnungen!$I$298=C20,Begegnungen!$I$299=C20),Begegnungen!$I$303,IF(OR(Begegnungen!$K$293=C20,Begegnungen!$K$294=C20,Begegnungen!$K$295=C20,Begegnungen!$K$296=C20,Begegnungen!$K$297=C20,Begegnungen!$K$298=C20,Begegnungen!$K$299=C20),Begegnungen!$K$303,""))</f>
        <v/>
      </c>
      <c r="AP20" s="136" t="str">
        <f>IF(OR(Begegnungen!$C323=C20,Begegnungen!$C$310=C20,Begegnungen!$C$311=C20,Begegnungen!$C$312=C20,Begegnungen!$C$313=C20,Begegnungen!$C$314=C20,Begegnungen!$C$315=C20),Begegnungen!$C$319,IF(OR(Begegnungen!$E$309=C20,Begegnungen!$E$310=C20,Begegnungen!$E$311=C20,Begegnungen!$E$312=C20,Begegnungen!$E$313=C20,Begegnungen!$E$314=C20,Begegnungen!$E$315=C20),Begegnungen!$E$319,""))</f>
        <v/>
      </c>
      <c r="AQ20" s="66" t="str">
        <f>IF(OR(Begegnungen!$I323=C20,Begegnungen!$I$310=C20,Begegnungen!$I$311=C20,Begegnungen!$I$312=C20,Begegnungen!$I$313=C20,Begegnungen!$I$314=C20,Begegnungen!$I$315=C20),Begegnungen!$I$319,IF(OR(Begegnungen!$K$309=C20,Begegnungen!$K$310=C20,Begegnungen!$K$311=C20,Begegnungen!$K$312=C20,Begegnungen!$K$313=C20,Begegnungen!$K$314=C20,Begegnungen!$K$315=C20),Begegnungen!$K$319,""))</f>
        <v/>
      </c>
      <c r="AR20" s="25">
        <f t="shared" si="0"/>
        <v>0</v>
      </c>
      <c r="AS20" s="139">
        <f>Spiele!AS20</f>
        <v>0</v>
      </c>
      <c r="AT20" s="140" t="e">
        <f t="shared" si="1"/>
        <v>#DIV/0!</v>
      </c>
    </row>
    <row r="21" spans="2:46" x14ac:dyDescent="0.25">
      <c r="B21" s="4">
        <v>16</v>
      </c>
      <c r="C21" s="146" t="s">
        <v>28</v>
      </c>
      <c r="D21" s="148">
        <f>IF(OR(Begegnungen!$C$3=C21,Begegnungen!$C$4=C21,Begegnungen!$C$5=C21,Begegnungen!$C$6=C21,Begegnungen!$C$7=C21,Begegnungen!$C$8=C21,Begegnungen!$C$9=C21),Begegnungen!$C$13,IF(OR(Begegnungen!$E$3=C21,Begegnungen!$E$4=C21,Begegnungen!$E$5=C21,Begegnungen!$E$6=C21,Begegnungen!$E$7=C21,Begegnungen!$E$8=C21,Begegnungen!$E$9=C21),Begegnungen!$E$13,""))</f>
        <v>2</v>
      </c>
      <c r="E21" s="66">
        <f>IF(OR(Begegnungen!$I$3=C21,Begegnungen!$I$4=C21,Begegnungen!$I$5=C21,Begegnungen!$I$6=C21,Begegnungen!$I$7=C21,Begegnungen!$I$8=C21,Begegnungen!$I$9=C21),Begegnungen!$I$13,IF(OR(Begegnungen!$K$3=C21,Begegnungen!$K$4=C21,Begegnungen!$K$5=C21,Begegnungen!$K$6=C21,Begegnungen!$K$7=C21,Begegnungen!$K$8=C21,Begegnungen!$K$9=C21),Begegnungen!$K$13,""))</f>
        <v>0</v>
      </c>
      <c r="F21" s="66">
        <f>IF(OR(Begegnungen!$C$19=C21,Begegnungen!$C$20=C21,Begegnungen!$C$21=C21,Begegnungen!$C$22=C21,Begegnungen!$C$23=C21,Begegnungen!$C$24=C21,Begegnungen!$C$25=C21),Begegnungen!$C$29,IF(OR(Begegnungen!$E$19=C21,Begegnungen!$E$20=C21,Begegnungen!$E$21=C21,Begegnungen!$E$22=C21,Begegnungen!$E$23=C21,Begegnungen!$E$24=C21,Begegnungen!$E$25=C21),Begegnungen!$E$29,""))</f>
        <v>6</v>
      </c>
      <c r="G21" s="66">
        <f>IF(OR(Begegnungen!$I$19=C21,Begegnungen!$I$20=C21,Begegnungen!$I$21=C21,Begegnungen!$I$22=C21,Begegnungen!$I$23=C21,Begegnungen!$I$24=C21,Begegnungen!$I$25=C21),Begegnungen!$I$29,IF(OR(Begegnungen!$K$19=C21,Begegnungen!$K$20=C21,Begegnungen!$K$21=C21,Begegnungen!$K$22=C21,Begegnungen!$K$23=C21,Begegnungen!$K$24=C21,Begegnungen!$K$25=C21),Begegnungen!$K$29,""))</f>
        <v>3</v>
      </c>
      <c r="H21" s="66">
        <f>IF(OR(Begegnungen!$C$35=C21,Begegnungen!$C$36=C21,Begegnungen!$C$37=C21,Begegnungen!$C$38=C21,Begegnungen!$C$39=C21,Begegnungen!$C$40=C21,Begegnungen!$C$41=C21),Begegnungen!$C$46,IF(OR(Begegnungen!$E$35=C21,Begegnungen!$E$36=C21,Begegnungen!$E$37=C21,Begegnungen!$E$38=C21,Begegnungen!$E$39=C21,Begegnungen!$E$40=C21,Begegnungen!$E$41=C21,Begegnungen!$E$42=C21),Begegnungen!$E$46,""))</f>
        <v>6</v>
      </c>
      <c r="I21" s="66">
        <f>IF(OR(Begegnungen!$I$35=C21,Begegnungen!$I$36=C21,Begegnungen!$I$37=C21,Begegnungen!$I$38=C21,Begegnungen!$I$39=C21,Begegnungen!$I$40=C21,Begegnungen!$I$41=C21),Begegnungen!$I$46,IF(OR(Begegnungen!$K$35=C21,Begegnungen!$K$36=C21,Begegnungen!$K$37=C21,Begegnungen!$K$38=C21,Begegnungen!$K$39=C21,Begegnungen!$K$40=C21,Begegnungen!$K$41=C21),Begegnungen!$K$46,""))</f>
        <v>3</v>
      </c>
      <c r="J21" s="136">
        <f>IF(OR(Begegnungen!$C$52=C21,Begegnungen!$C$53=C21,Begegnungen!$C$54=C21,Begegnungen!$C$55=C21,Begegnungen!$C$56=C21,Begegnungen!$C$57=C21,Begegnungen!$C$58=C21),Begegnungen!$C$62,IF(OR(Begegnungen!$E$52=C21,Begegnungen!$E$53=C21,Begegnungen!$E$54=C21,Begegnungen!$E$55=C21,Begegnungen!$E$56=C21,Begegnungen!$E$57=C21,Begegnungen!$E$58=C21),Begegnungen!$E$62,""))</f>
        <v>2</v>
      </c>
      <c r="K21" s="66">
        <f>IF(OR(Begegnungen!$I$52=C21,Begegnungen!$I$53=C21,Begegnungen!$I$54=C21,Begegnungen!$I$55=C21,Begegnungen!$I$56=C21,Begegnungen!$I$57=C21,Begegnungen!$I$58=C21),Begegnungen!$I$62,IF(OR(Begegnungen!$K$52=C21,Begegnungen!$K$53=C21,Begegnungen!$K$54=C21,Begegnungen!$K$55=C21,Begegnungen!$K$56=C21,Begegnungen!$K$57=C21,Begegnungen!$K$58=C21),Begegnungen!$K$62,""))</f>
        <v>4</v>
      </c>
      <c r="L21" s="136">
        <f>IF(OR(Begegnungen!$C83=C21,Begegnungen!$C$69=C21,Begegnungen!$C$70=C21,Begegnungen!$C$71=C21,Begegnungen!$C$72=C21,Begegnungen!$C$73=C21,Begegnungen!$C$74=C21),Begegnungen!$C$78,IF(OR(Begegnungen!$E$68=C21,Begegnungen!$E$69=C21,Begegnungen!$E$70=C21,Begegnungen!$E$71=C21,Begegnungen!$E$72=C21,Begegnungen!$E$73=C21,Begegnungen!$E$74=C21),Begegnungen!$E$78,""))</f>
        <v>3</v>
      </c>
      <c r="M21" s="66" t="str">
        <f>IF(OR(Begegnungen!$I83=C21,Begegnungen!$I$69=C21,Begegnungen!$I$70=C21,Begegnungen!$I$71=C21,Begegnungen!$I$72=C21,Begegnungen!$I$73=C21,Begegnungen!$I$74=C21),Begegnungen!$I$78,IF(OR(Begegnungen!$K$68=C21,Begegnungen!$K$69=C21,Begegnungen!$K$70=C21,Begegnungen!$K$71=C21,Begegnungen!$K$72=C21,Begegnungen!$K$73=C21,Begegnungen!$K$74=C21),Begegnungen!$K$78,""))</f>
        <v/>
      </c>
      <c r="N21" s="66" t="str">
        <f>IF(OR(Begegnungen!$C100=C21,Begegnungen!$C$85=C21,Begegnungen!$C$86=C21,Begegnungen!$C$87=C21,Begegnungen!$C$88=C21,Begegnungen!$C$89=C21,Begegnungen!$C$90=C21),Begegnungen!$C$95,IF(OR(Begegnungen!$E$84=C21,Begegnungen!$E$85=C21,Begegnungen!$E$86=C21,Begegnungen!$E$87=C21,Begegnungen!$E$88=C21,Begegnungen!$E$89=C21,Begegnungen!$E$90=C21),Begegnungen!$E$95,""))</f>
        <v/>
      </c>
      <c r="O21" s="66">
        <f>IF(OR(Begegnungen!$I100=C21,Begegnungen!$I$85=C21,Begegnungen!$I$86=C21,Begegnungen!$I$87=C21,Begegnungen!$I$88=C21,Begegnungen!$I$89=C21,Begegnungen!$I$90=C21),Begegnungen!$I$95,IF(OR(Begegnungen!$K$84=C21,Begegnungen!$K$85=C21,Begegnungen!$K$86=C21,Begegnungen!$K$87=C21,Begegnungen!$K$88=C21,Begegnungen!$K$89=C21,Begegnungen!$K$90=C21),Begegnungen!$K$95,""))</f>
        <v>2</v>
      </c>
      <c r="P21" s="66" t="str">
        <f>IF(OR(Begegnungen!$C116=C21,Begegnungen!$C$102=C21,Begegnungen!$C$103=C21,Begegnungen!$C$104=C21,Begegnungen!$C$105=C21,Begegnungen!$C$106=C21,Begegnungen!$C$107=C21),Begegnungen!$C$111,IF(OR(Begegnungen!$E$101=C21,Begegnungen!$E$102=C21,Begegnungen!$E$103=C21,Begegnungen!$E$104=C21,Begegnungen!$E$105=C21,Begegnungen!$E$106=C21,Begegnungen!$E$107=C21),Begegnungen!$E$111,""))</f>
        <v/>
      </c>
      <c r="Q21" s="66">
        <f>IF(OR(Begegnungen!$I116=C21,Begegnungen!$I$102=C21,Begegnungen!$I$103=C21,Begegnungen!$I$104=C21,Begegnungen!$I$105=C21,Begegnungen!$I$106=C21,Begegnungen!$I$107=C21),Begegnungen!$I$111,IF(OR(Begegnungen!$K$101=C21,Begegnungen!$K$102=C21,Begegnungen!$K$103=C21,Begegnungen!$K$104=C21,Begegnungen!$K$105=C21,Begegnungen!$K$106=C21,Begegnungen!$K$107=C21),Begegnungen!$K$111,""))</f>
        <v>3</v>
      </c>
      <c r="R21" s="136">
        <f>IF(OR(Begegnungen!$C132=C21,Begegnungen!$C$118=C21,Begegnungen!$C$119=C21,Begegnungen!$C$120=C21,Begegnungen!$C$121=C21,Begegnungen!$C$122=C21,Begegnungen!$C$123=C21),Begegnungen!$C$127,IF(OR(Begegnungen!$E$117=C21,Begegnungen!$E$118=C21,Begegnungen!$E$119=C21,Begegnungen!$E$120=C21,Begegnungen!$E$121=C21,Begegnungen!$E$122=C21,Begegnungen!$E$123=C21),Begegnungen!$E$127,""))</f>
        <v>1</v>
      </c>
      <c r="S21" s="66">
        <f>IF(OR(Begegnungen!$I$117=C21,Begegnungen!$I$118=C21,Begegnungen!$I$119=C21,Begegnungen!$I$120=C21,Begegnungen!$I$121=C21,Begegnungen!$I$122=C21,Begegnungen!$I$123=C21),Begegnungen!$I$127,IF(OR(Begegnungen!$K$117=C21,Begegnungen!$K$118=C21,Begegnungen!$K$119=C21,Begegnungen!$K$120=C21,Begegnungen!$K$121=C21,Begegnungen!$K$122=C21,Begegnungen!$K$123=C21),Begegnungen!$K$127,""))</f>
        <v>3</v>
      </c>
      <c r="T21" s="66">
        <f>IF(OR(Begegnungen!$C148=C21,Begegnungen!$C$134=C21,Begegnungen!$C$135=C21,Begegnungen!$C$136=C21,Begegnungen!$C$137=C21,Begegnungen!$C$138=C21,Begegnungen!$C$139=C21),Begegnungen!$C$143,IF(OR(Begegnungen!$E$133=C21,Begegnungen!$E$134=C21,Begegnungen!$E$135=C21,Begegnungen!$E$136=C21,Begegnungen!$E$137=C21,Begegnungen!$E$138=C21,Begegnungen!$E$139=C21),Begegnungen!$E$143,""))</f>
        <v>2</v>
      </c>
      <c r="U21" s="66">
        <f>IF(OR(Begegnungen!$I148=C21,Begegnungen!$I$134=C21,Begegnungen!$I$135=C21,Begegnungen!$I$136=C21,Begegnungen!$I$137=C21,Begegnungen!$I$138=C21,Begegnungen!$I$139=C21),Begegnungen!$I$143,IF(OR(Begegnungen!$K$133=C21,Begegnungen!$K$134=C21,Begegnungen!$K$135=C21,Begegnungen!$K$136=C21,Begegnungen!$K$137=C21,Begegnungen!$K$138=C21,Begegnungen!$K$139=C21),Begegnungen!$K$143,""))</f>
        <v>2</v>
      </c>
      <c r="V21" s="66" t="str">
        <f>IF(OR(Begegnungen!$C164=C21,Begegnungen!$C$150=C21,Begegnungen!$C$151=C21,Begegnungen!$C$152=C21,Begegnungen!$C$153=C21,Begegnungen!$C$154=C21,Begegnungen!$C$155=C21),Begegnungen!$C$159,IF(OR(Begegnungen!$E$149=C21,Begegnungen!$E$150=C21,Begegnungen!$E$151=C21,Begegnungen!$E$152=C21,Begegnungen!$E$153=C21,Begegnungen!$E$154=C21,Begegnungen!$E$155=C21),Begegnungen!$E$159,""))</f>
        <v/>
      </c>
      <c r="W21" s="66">
        <f>IF(OR(Begegnungen!$I164=C21,Begegnungen!$I$150=C21,Begegnungen!$I$151=C21,Begegnungen!$I$152=C21,Begegnungen!$I$153=C21,Begegnungen!$I$154=C21,Begegnungen!$I$155=C21),Begegnungen!$I$159,IF(OR(Begegnungen!$K$149=C21,Begegnungen!$K$150=C21,Begegnungen!$K$151=C21,Begegnungen!$K$152=C21,Begegnungen!$K$153=C21,Begegnungen!$K$154=C21,Begegnungen!$K$155=C21),Begegnungen!$K$159,""))</f>
        <v>2</v>
      </c>
      <c r="X21" s="66">
        <f>IF(OR(Begegnungen!$C180=C21,Begegnungen!$C$166=C21,Begegnungen!$C$167=C21,Begegnungen!$C$168=C21,Begegnungen!$C$169=C21,Begegnungen!$C$170=C21,Begegnungen!$C$171=C21),Begegnungen!$C$175,IF(OR(Begegnungen!$E$165=C21,Begegnungen!$E$166=C21,Begegnungen!$E$167=C21,Begegnungen!$E$168=C21,Begegnungen!$E$169=C21,Begegnungen!$E$170=C21,Begegnungen!$E$171=C21),Begegnungen!$E$175,""))</f>
        <v>3</v>
      </c>
      <c r="Y21" s="66">
        <f>IF(OR(Begegnungen!$I180=C21,Begegnungen!$I$166=C21,Begegnungen!$I$167=C21,Begegnungen!$I$168=C21,Begegnungen!$I$169=C21,Begegnungen!$I$170=C21,Begegnungen!$I$171=C21),Begegnungen!$I$175,IF(OR(Begegnungen!$K$165=C21,Begegnungen!$K$166=C21,Begegnungen!$K$167=C21,Begegnungen!$K$168=C21,Begegnungen!$K$169=C21,Begegnungen!$K$170=C21,Begegnungen!$K$171=C21),Begegnungen!$K$175,""))</f>
        <v>0</v>
      </c>
      <c r="Z21" s="66">
        <f>IF(OR(Begegnungen!$C196=C21,Begegnungen!$C$182=C21,Begegnungen!$C$183=C21,Begegnungen!$C$184=C21,Begegnungen!$C$185=C21,Begegnungen!$C$186=C21,Begegnungen!$C$187=C21),Begegnungen!$C$191,IF(OR(Begegnungen!$E$181=C21,Begegnungen!$E$182=C21,Begegnungen!$E$183=C21,Begegnungen!$E$184=C21,Begegnungen!$E$185=C21,Begegnungen!$E$186=C21,Begegnungen!$E$187=C21),Begegnungen!$E$191,""))</f>
        <v>7</v>
      </c>
      <c r="AA21" s="66">
        <f>IF(OR(Begegnungen!$I196=C21,Begegnungen!$I$182=C21,Begegnungen!$I$183=C21,Begegnungen!$I$184=C21,Begegnungen!$I$185=C21,Begegnungen!$I$186=C21,Begegnungen!$I$187=C21),Begegnungen!$I$191,IF(OR(Begegnungen!$K$181=C21,Begegnungen!$K$182=C21,Begegnungen!$K$183=C21,Begegnungen!$K$184=C21,Begegnungen!$K$185=C21,Begegnungen!$K$186=C21,Begegnungen!$K$187=C21),Begegnungen!$K$191,""))</f>
        <v>8</v>
      </c>
      <c r="AB21" s="66">
        <f>IF(OR(Begegnungen!$C212=C21,Begegnungen!$C$198=C21,Begegnungen!$C$199=C21,Begegnungen!$C$200=C21,Begegnungen!$C$201=C21,Begegnungen!$C$202=C21,Begegnungen!$C$203=C21),Begegnungen!$C$207,IF(OR(Begegnungen!$E$197=C21,Begegnungen!$E$198=C21,Begegnungen!$E$199=C21,Begegnungen!$E$200=C21,Begegnungen!$E$201=C21,Begegnungen!$E$202=C21,Begegnungen!$E$203=C21),Begegnungen!$E$207,""))</f>
        <v>3</v>
      </c>
      <c r="AC21" s="66" t="str">
        <f>IF(OR(Begegnungen!$I212=C21,Begegnungen!$I$198=C21,Begegnungen!$I$199=C21,Begegnungen!$I$200=C21,Begegnungen!$I$201=C21,Begegnungen!$I$202=C21,Begegnungen!$I$203=C21),Begegnungen!$I$207,IF(OR(Begegnungen!$K$197=C21,Begegnungen!$K$198=C21,Begegnungen!$K$199=C21,Begegnungen!$K$200=C21,Begegnungen!$K$201=C21,Begegnungen!$K$202=C21,Begegnungen!$K$203=C21),Begegnungen!$K$207,""))</f>
        <v/>
      </c>
      <c r="AD21" s="66">
        <f>IF(OR(Begegnungen!$C228=C21,Begegnungen!$C$214=C21,Begegnungen!$C$215=C21,Begegnungen!$C$216=C21,Begegnungen!$C$217=C21,Begegnungen!$C$218=C21,Begegnungen!$C$219=C21),Begegnungen!$C$223,IF(OR(Begegnungen!$E$213=C21,Begegnungen!$E$214=C21,Begegnungen!$E$215=C21,Begegnungen!$E$216=C21,Begegnungen!$E$217=C21,Begegnungen!$E$218=C21,Begegnungen!$E$219=C21),Begegnungen!$E$223,""))</f>
        <v>5</v>
      </c>
      <c r="AE21" s="66" t="str">
        <f>IF(OR(Begegnungen!$I228=C21,Begegnungen!$I$214=C21,Begegnungen!$I$215=C21,Begegnungen!$I$216=C21,Begegnungen!$I$217=C21,Begegnungen!$I$218=C21,Begegnungen!$I$219=C21),Begegnungen!$I$223,IF(OR(Begegnungen!$K$213=C21,Begegnungen!$K$214=C21,Begegnungen!$K$215=C21,Begegnungen!$K$216=C21,Begegnungen!$K$217=C21,Begegnungen!$K$218=C21,Begegnungen!$K$219=C21),Begegnungen!$K$223,""))</f>
        <v/>
      </c>
      <c r="AF21" s="136">
        <f>IF(OR(Begegnungen!$C244=C21,Begegnungen!$C$230=C21,Begegnungen!$C$231=C21,Begegnungen!$C$232=C21,Begegnungen!$C$233=C21,Begegnungen!$C$234=C21,Begegnungen!$C$235=C21),Begegnungen!$C$239,IF(OR(Begegnungen!$E$229=C21,Begegnungen!$E$230=C21,Begegnungen!$E$231=C21,Begegnungen!$E$232=C21,Begegnungen!$E$233=C21,Begegnungen!$E$234=C21,Begegnungen!$E$235=C21),Begegnungen!$E$239,""))</f>
        <v>4</v>
      </c>
      <c r="AG21" s="66">
        <f>IF(OR(Begegnungen!$I244=C21,Begegnungen!$I$230=C21,Begegnungen!$I$231=C21,Begegnungen!$I$232=C21,Begegnungen!$I$233=C21,Begegnungen!$I$234=C21,Begegnungen!$I$235=C21),Begegnungen!$I$239,IF(OR(Begegnungen!$K$229=C21,Begegnungen!$K$230=C21,Begegnungen!$K$231=C21,Begegnungen!$K$232=C21,Begegnungen!$K$233=C21,Begegnungen!$K$234=C21,Begegnungen!$K$235=C21),Begegnungen!$K$239,""))</f>
        <v>1</v>
      </c>
      <c r="AH21" s="66">
        <f>IF(OR(Begegnungen!$C260=C21,Begegnungen!$C$246=C21,Begegnungen!$C$247=C21,Begegnungen!$C$248=C21,Begegnungen!$C$249=C21,Begegnungen!$C$250=C21,Begegnungen!$C$251=C21),Begegnungen!$C$255,IF(OR(Begegnungen!$E$245=C21,Begegnungen!$E$246=C21,Begegnungen!$E$247=C21,Begegnungen!$E$248=C21,Begegnungen!$E$249=C21,Begegnungen!$E$250=C21,Begegnungen!$E$251=C21),Begegnungen!$E$255,""))</f>
        <v>4</v>
      </c>
      <c r="AI21" s="66">
        <f>IF(OR(Begegnungen!$I260=C21,Begegnungen!$I$246=C21,Begegnungen!$I$247=C21,Begegnungen!$I$248=C21,Begegnungen!$I$249=C21,Begegnungen!$I$250=C21,Begegnungen!$I$251=C21),Begegnungen!$I$255,IF(OR(Begegnungen!$K$245=C21,Begegnungen!$K$246=C21,Begegnungen!$K$247=C21,Begegnungen!$K$248=C21,Begegnungen!$K$249=C21,Begegnungen!$K$250=C21,Begegnungen!$K$251=C21),Begegnungen!$K$255,""))</f>
        <v>1</v>
      </c>
      <c r="AJ21" s="66">
        <f>IF(OR(Begegnungen!$C276=C21,Begegnungen!$C$262=C21,Begegnungen!$C$263=C21,Begegnungen!$C$264=C21,Begegnungen!$C$265=C21,Begegnungen!$C$266=C21,Begegnungen!$C$267=C21),Begegnungen!$C$271,IF(OR(Begegnungen!$E$261=C21,Begegnungen!$E$262=C21,Begegnungen!$E$263=C21,Begegnungen!$E$264=C21,Begegnungen!$E$265=C21,Begegnungen!$E$266=C21,Begegnungen!$E$267=C21),Begegnungen!$E$271,""))</f>
        <v>3</v>
      </c>
      <c r="AK21" s="66">
        <f>IF(OR(Begegnungen!$I276=C21,Begegnungen!$I$262=C21,Begegnungen!$I$263=C21,Begegnungen!$I$264=C21,Begegnungen!$I$265=C21,Begegnungen!$I$266=C21,Begegnungen!$I$267=C21),Begegnungen!$I$271,IF(OR(Begegnungen!$K$261=C21,Begegnungen!$K$262=C21,Begegnungen!$K$263=C21,Begegnungen!$K$264=C21,Begegnungen!$K$265=C21,Begegnungen!$K$266=C21,Begegnungen!$K$267=C21),Begegnungen!$K$271,""))</f>
        <v>1</v>
      </c>
      <c r="AL21" s="66">
        <f>IF(OR(Begegnungen!$C292=C21,Begegnungen!$C$278=C21,Begegnungen!$C$279=C21,Begegnungen!$C$280=C21,Begegnungen!$C$281=C21,Begegnungen!$C$282=C21,Begegnungen!$C$283=C21),Begegnungen!$C$287,IF(OR(Begegnungen!$E$277=C21,Begegnungen!$E$278=C21,Begegnungen!$E$279=C21,Begegnungen!$E$280=C21,Begegnungen!$E$281=C21,Begegnungen!$E$282=C21,Begegnungen!$E$283=C21),Begegnungen!$E$287,""))</f>
        <v>5</v>
      </c>
      <c r="AM21" s="136">
        <f>IF(OR(Begegnungen!$I292=C21,Begegnungen!$I$278=C21,Begegnungen!$I$279=C21,Begegnungen!$I$280=C21,Begegnungen!$I$281=C21,Begegnungen!$I$282=C21,Begegnungen!$I$283=C21),Begegnungen!$I$287,IF(OR(Begegnungen!$K$277=C21,Begegnungen!$K$278=C21,Begegnungen!$K$279=C21,Begegnungen!$K$280=C21,Begegnungen!$K$281=C21,Begegnungen!$K$282=C21,Begegnungen!$K$283=C21),Begegnungen!$K$287,""))</f>
        <v>3</v>
      </c>
      <c r="AN21" s="66">
        <f>IF(OR(Begegnungen!$C308=C21,Begegnungen!$C$294=C21,Begegnungen!$C$295=C21,Begegnungen!$C$296=C21,Begegnungen!$C$297=C21,Begegnungen!$C$298=C21,Begegnungen!$C$299=C21),Begegnungen!$C$303,IF(OR(Begegnungen!$E$293=C21,Begegnungen!$E$294=C21,Begegnungen!$E$295=C21,Begegnungen!$E$296=C21,Begegnungen!$E$297=C21,Begegnungen!$E$298=C21,Begegnungen!$E$299=C21),Begegnungen!$E$303,""))</f>
        <v>3</v>
      </c>
      <c r="AO21" s="136">
        <f>IF(OR(Begegnungen!$I308=C21,Begegnungen!$I$294=C21,Begegnungen!$I$295=C21,Begegnungen!$I$296=C21,Begegnungen!$I$297=C21,Begegnungen!$I$298=C21,Begegnungen!$I$299=C21),Begegnungen!$I$303,IF(OR(Begegnungen!$K$293=C21,Begegnungen!$K$294=C21,Begegnungen!$K$295=C21,Begegnungen!$K$296=C21,Begegnungen!$K$297=C21,Begegnungen!$K$298=C21,Begegnungen!$K$299=C21),Begegnungen!$K$303,""))</f>
        <v>3</v>
      </c>
      <c r="AP21" s="136">
        <f>IF(OR(Begegnungen!$C324=C21,Begegnungen!$C$310=C21,Begegnungen!$C$311=C21,Begegnungen!$C$312=C21,Begegnungen!$C$313=C21,Begegnungen!$C$314=C21,Begegnungen!$C$315=C21),Begegnungen!$C$319,IF(OR(Begegnungen!$E$309=C21,Begegnungen!$E$310=C21,Begegnungen!$E$311=C21,Begegnungen!$E$312=C21,Begegnungen!$E$313=C21,Begegnungen!$E$314=C21,Begegnungen!$E$315=C21),Begegnungen!$E$319,""))</f>
        <v>2</v>
      </c>
      <c r="AQ21" s="66">
        <f>IF(OR(Begegnungen!$I324=C21,Begegnungen!$I$310=C21,Begegnungen!$I$311=C21,Begegnungen!$I$312=C21,Begegnungen!$I$313=C21,Begegnungen!$I$314=C21,Begegnungen!$I$315=C21),Begegnungen!$I$319,IF(OR(Begegnungen!$K$309=C21,Begegnungen!$K$310=C21,Begegnungen!$K$311=C21,Begegnungen!$K$312=C21,Begegnungen!$K$313=C21,Begegnungen!$K$314=C21,Begegnungen!$K$315=C21),Begegnungen!$K$319,""))</f>
        <v>4</v>
      </c>
      <c r="AR21" s="25">
        <f t="shared" si="0"/>
        <v>104</v>
      </c>
      <c r="AS21" s="139">
        <f>Spiele!AS21</f>
        <v>34</v>
      </c>
      <c r="AT21" s="140">
        <f t="shared" si="1"/>
        <v>3.0588235294117645</v>
      </c>
    </row>
    <row r="22" spans="2:46" x14ac:dyDescent="0.25">
      <c r="B22" s="4">
        <v>17</v>
      </c>
      <c r="C22" s="146" t="s">
        <v>19</v>
      </c>
      <c r="D22" s="148">
        <f>IF(OR(Begegnungen!$C$3=C22,Begegnungen!$C$4=C22,Begegnungen!$C$5=C22,Begegnungen!$C$6=C22,Begegnungen!$C$7=C22,Begegnungen!$C$8=C22,Begegnungen!$C$9=C22),Begegnungen!$C$13,IF(OR(Begegnungen!$E$3=C22,Begegnungen!$E$4=C22,Begegnungen!$E$5=C22,Begegnungen!$E$6=C22,Begegnungen!$E$7=C22,Begegnungen!$E$8=C22,Begegnungen!$E$9=C22),Begegnungen!$E$13,""))</f>
        <v>2</v>
      </c>
      <c r="E22" s="66">
        <f>IF(OR(Begegnungen!$I$3=C22,Begegnungen!$I$4=C22,Begegnungen!$I$5=C22,Begegnungen!$I$6=C22,Begegnungen!$I$7=C22,Begegnungen!$I$8=C22,Begegnungen!$I$9=C22),Begegnungen!$I$13,IF(OR(Begegnungen!$K$3=C22,Begegnungen!$K$4=C22,Begegnungen!$K$5=C22,Begegnungen!$K$6=C22,Begegnungen!$K$7=C22,Begegnungen!$K$8=C22,Begegnungen!$K$9=C22),Begegnungen!$K$13,""))</f>
        <v>0</v>
      </c>
      <c r="F22" s="66">
        <f>IF(OR(Begegnungen!$C$19=C22,Begegnungen!$C$20=C22,Begegnungen!$C$21=C22,Begegnungen!$C$22=C22,Begegnungen!$C$23=C22,Begegnungen!$C$24=C22,Begegnungen!$C$25=C22),Begegnungen!$C$29,IF(OR(Begegnungen!$E$19=C22,Begegnungen!$E$20=C22,Begegnungen!$E$21=C22,Begegnungen!$E$22=C22,Begegnungen!$E$23=C22,Begegnungen!$E$24=C22,Begegnungen!$E$25=C22),Begegnungen!$E$29,""))</f>
        <v>6</v>
      </c>
      <c r="G22" s="66" t="str">
        <f>IF(OR(Begegnungen!$I$19=C22,Begegnungen!$I$20=C22,Begegnungen!$I$21=C22,Begegnungen!$I$22=C22,Begegnungen!$I$23=C22,Begegnungen!$I$24=C22,Begegnungen!$I$25=C22),Begegnungen!$I$29,IF(OR(Begegnungen!$K$19=C22,Begegnungen!$K$20=C22,Begegnungen!$K$21=C22,Begegnungen!$K$22=C22,Begegnungen!$K$23=C22,Begegnungen!$K$24=C22,Begegnungen!$K$25=C22),Begegnungen!$K$29,""))</f>
        <v/>
      </c>
      <c r="H22" s="66" t="str">
        <f>IF(OR(Begegnungen!$C$35=C22,Begegnungen!$C$36=C22,Begegnungen!$C$37=C22,Begegnungen!$C$38=C22,Begegnungen!$C$39=C22,Begegnungen!$C$40=C22,Begegnungen!$C$41=C22),Begegnungen!$C$46,IF(OR(Begegnungen!$E$35=C22,Begegnungen!$E$36=C22,Begegnungen!$E$37=C22,Begegnungen!$E$38=C22,Begegnungen!$E$39=C22,Begegnungen!$E$40=C22,Begegnungen!$E$41=C22),Begegnungen!$E$46,""))</f>
        <v/>
      </c>
      <c r="I22" s="66" t="str">
        <f>IF(OR(Begegnungen!$I$35=C22,Begegnungen!$I$36=C22,Begegnungen!$I$37=C22,Begegnungen!$I$38=C22,Begegnungen!$I$39=C22,Begegnungen!$I$40=C22,Begegnungen!$I$41=C22),Begegnungen!$I$46,IF(OR(Begegnungen!$K$35=C22,Begegnungen!$K$36=C22,Begegnungen!$K$37=C22,Begegnungen!$K$38=C22,Begegnungen!$K$39=C22,Begegnungen!$K$40=C22,Begegnungen!$K$41=C22),Begegnungen!$K$46,""))</f>
        <v/>
      </c>
      <c r="J22" s="136">
        <f>IF(OR(Begegnungen!$C$52=C22,Begegnungen!$C$53=C22,Begegnungen!$C$54=C22,Begegnungen!$C$55=C22,Begegnungen!$C$56=C22,Begegnungen!$C$57=C22,Begegnungen!$C$58=C22),Begegnungen!$C$62,IF(OR(Begegnungen!$E$52=C22,Begegnungen!$E$53=C22,Begegnungen!$E$54=C22,Begegnungen!$E$55=C22,Begegnungen!$E$56=C22,Begegnungen!$E$57=C22,Begegnungen!$E$58=C22),Begegnungen!$E$62,""))</f>
        <v>2</v>
      </c>
      <c r="K22" s="66" t="str">
        <f>IF(OR(Begegnungen!$I$52=C22,Begegnungen!$I$53=C22,Begegnungen!$I$54=C22,Begegnungen!$I$55=C22,Begegnungen!$I$56=C22,Begegnungen!$I$57=C22,Begegnungen!$I$58=C22),Begegnungen!$I$62,IF(OR(Begegnungen!$K$52=C22,Begegnungen!$K$53=C22,Begegnungen!$K$54=C22,Begegnungen!$K$55=C22,Begegnungen!$K$56=C22,Begegnungen!$K$57=C22,Begegnungen!$K$58=C22),Begegnungen!$K$62,""))</f>
        <v/>
      </c>
      <c r="L22" s="136" t="str">
        <f>IF(OR(Begegnungen!$C84=C22,Begegnungen!$C$69=C22,Begegnungen!$C$70=C22,Begegnungen!$C$71=C22,Begegnungen!$C$72=C22,Begegnungen!$C$73=C22,Begegnungen!$C$74=C22),Begegnungen!$C$78,IF(OR(Begegnungen!$E$68=C22,Begegnungen!$E$69=C22,Begegnungen!$E$70=C22,Begegnungen!$E$71=C22,Begegnungen!$E$72=C22,Begegnungen!$E$73=C22,Begegnungen!$E$74=C22),Begegnungen!$E$78,""))</f>
        <v/>
      </c>
      <c r="M22" s="66" t="str">
        <f>IF(OR(Begegnungen!$I84=C22,Begegnungen!$I$69=C22,Begegnungen!$I$70=C22,Begegnungen!$I$71=C22,Begegnungen!$I$72=C22,Begegnungen!$I$73=C22,Begegnungen!$I$74=C22),Begegnungen!$I$78,IF(OR(Begegnungen!$K$68=C22,Begegnungen!$K$69=C22,Begegnungen!$K$70=C22,Begegnungen!$K$71=C22,Begegnungen!$K$72=C22,Begegnungen!$K$73=C22,Begegnungen!$K$74=C22),Begegnungen!$K$78,""))</f>
        <v/>
      </c>
      <c r="N22" s="66" t="str">
        <f>IF(OR(Begegnungen!$C101=C22,Begegnungen!$C$85=C22,Begegnungen!$C$86=C22,Begegnungen!$C$87=C22,Begegnungen!$C$88=C22,Begegnungen!$C$89=C22,Begegnungen!$C$90=C22),Begegnungen!$C$95,IF(OR(Begegnungen!$E$84=C22,Begegnungen!$E$85=C22,Begegnungen!$E$86=C22,Begegnungen!$E$87=C22,Begegnungen!$E$88=C22,Begegnungen!$E$89=C22,Begegnungen!$E$90=C22),Begegnungen!$E$95,""))</f>
        <v/>
      </c>
      <c r="O22" s="66">
        <f>IF(OR(Begegnungen!$I101=C22,Begegnungen!$I$85=C22,Begegnungen!$I$86=C22,Begegnungen!$I$87=C22,Begegnungen!$I$88=C22,Begegnungen!$I$89=C22,Begegnungen!$I$90=C22,Begegnungen!$I$91=C22),Begegnungen!$I$95,IF(OR(Begegnungen!$K$84=C22,Begegnungen!$K$85=C22,Begegnungen!$K$86=C22,Begegnungen!$K$87=C22,Begegnungen!$K$88=C22,Begegnungen!$K$89=C22,Begegnungen!$K$90=C22,Begegnungen!$K$91=C22),Begegnungen!$K$95,""))</f>
        <v>1</v>
      </c>
      <c r="P22" s="66" t="str">
        <f>IF(OR(Begegnungen!$C117=C22,Begegnungen!$C$102=C22,Begegnungen!$C$103=C22,Begegnungen!$C$104=C22,Begegnungen!$C$105=C22,Begegnungen!$C$106=C22,Begegnungen!$C$107=C22),Begegnungen!$C$111,IF(OR(Begegnungen!$E$101=C22,Begegnungen!$E$102=C22,Begegnungen!$E$103=C22,Begegnungen!$E$104=C22,Begegnungen!$E$105=C22,Begegnungen!$E$106=C22,Begegnungen!$E$107=C22),Begegnungen!$E$111,""))</f>
        <v/>
      </c>
      <c r="Q22" s="66" t="str">
        <f>IF(OR(Begegnungen!$I117=C22,Begegnungen!$I$102=C22,Begegnungen!$I$103=C22,Begegnungen!$I$104=C22,Begegnungen!$I$105=C22,Begegnungen!$I$106=C22,Begegnungen!$I$107=C22),Begegnungen!$I$111,IF(OR(Begegnungen!$K$101=C22,Begegnungen!$K$102=C22,Begegnungen!$K$103=C22,Begegnungen!$K$104=C22,Begegnungen!$K$105=C22,Begegnungen!$K$106=C22,Begegnungen!$K$107=C22),Begegnungen!$K$111,""))</f>
        <v/>
      </c>
      <c r="R22" s="136">
        <f>IF(OR(Begegnungen!$C133=C22,Begegnungen!$C$118=C22,Begegnungen!$C$119=C22,Begegnungen!$C$120=C22,Begegnungen!$C$121=C22,Begegnungen!$C$122=C22,Begegnungen!$C$123=C22),Begegnungen!$C$127,IF(OR(Begegnungen!$E$117=C22,Begegnungen!$E$118=C22,Begegnungen!$E$119=C22,Begegnungen!$E$120=C22,Begegnungen!$E$121=C22,Begegnungen!$E$122=C22,Begegnungen!$E$123=C22),Begegnungen!$E$127,""))</f>
        <v>1</v>
      </c>
      <c r="S22" s="66" t="str">
        <f>IF(OR(Begegnungen!$I$117=C22,Begegnungen!$I$118=C22,Begegnungen!$I$119=C22,Begegnungen!$I$120=C22,Begegnungen!$I$121=C22,Begegnungen!$I$122=C22,Begegnungen!$I$123=C22),Begegnungen!$I$127,IF(OR(Begegnungen!$K$117=C22,Begegnungen!$K$118=C22,Begegnungen!$K$119=C22,Begegnungen!$K$120=C22,Begegnungen!$K$121=C22,Begegnungen!$K$122=C22,Begegnungen!$K$123=C22),Begegnungen!$K$127,""))</f>
        <v/>
      </c>
      <c r="T22" s="66" t="str">
        <f>IF(OR(Begegnungen!$C149=C22,Begegnungen!$C$134=C22,Begegnungen!$C$135=C22,Begegnungen!$C$136=C22,Begegnungen!$C$137=C22,Begegnungen!$C$138=C22,Begegnungen!$C$139=C22),Begegnungen!$C$143,IF(OR(Begegnungen!$E$133=C22,Begegnungen!$E$134=C22,Begegnungen!$E$135=C22,Begegnungen!$E$136=C22,Begegnungen!$E$137=C22,Begegnungen!$E$138=C22,Begegnungen!$E$139=C22),Begegnungen!$E$143,""))</f>
        <v/>
      </c>
      <c r="U22" s="66">
        <f>IF(OR(Begegnungen!$I149=C22,Begegnungen!$I$134=C22,Begegnungen!$I$135=C22,Begegnungen!$I$136=C22,Begegnungen!$I$137=C22,Begegnungen!$I$138=C22,Begegnungen!$I$139=C22),Begegnungen!$I$143,IF(OR(Begegnungen!$K$133=C22,Begegnungen!$K$134=C22,Begegnungen!$K$135=C22,Begegnungen!$K$136=C22,Begegnungen!$K$137=C22,Begegnungen!$K$138=C22,Begegnungen!$K$139=C22),Begegnungen!$K$143,""))</f>
        <v>1</v>
      </c>
      <c r="V22" s="66" t="str">
        <f>IF(OR(Begegnungen!$C165=C22,Begegnungen!$C$150=C22,Begegnungen!$C$151=C22,Begegnungen!$C$152=C22,Begegnungen!$C$153=C22,Begegnungen!$C$154=C22,Begegnungen!$C$155=C22),Begegnungen!$C$159,IF(OR(Begegnungen!$E$149=C22,Begegnungen!$E$150=C22,Begegnungen!$E$151=C22,Begegnungen!$E$152=C22,Begegnungen!$E$153=C22,Begegnungen!$E$154=C22,Begegnungen!$E$155=C22),Begegnungen!$E$159,""))</f>
        <v/>
      </c>
      <c r="W22" s="66" t="str">
        <f>IF(OR(Begegnungen!$I165=C22,Begegnungen!$I$150=C22,Begegnungen!$I$151=C22,Begegnungen!$I$152=C22,Begegnungen!$I$153=C22,Begegnungen!$I$154=C22,Begegnungen!$I$155=C22),Begegnungen!$I$159,IF(OR(Begegnungen!$K$149=C22,Begegnungen!$K$150=C22,Begegnungen!$K$151=C22,Begegnungen!$K$152=C22,Begegnungen!$K$153=C22,Begegnungen!$K$154=C22,Begegnungen!$K$155=C22),Begegnungen!$K$159,""))</f>
        <v/>
      </c>
      <c r="X22" s="66" t="str">
        <f>IF(OR(Begegnungen!$C181=C22,Begegnungen!$C$166=C22,Begegnungen!$C$167=C22,Begegnungen!$C$168=C22,Begegnungen!$C$169=C22,Begegnungen!$C$170=C22,Begegnungen!$C$171=C22),Begegnungen!$C$175,IF(OR(Begegnungen!$E$165=C22,Begegnungen!$E$166=C22,Begegnungen!$E$167=C22,Begegnungen!$E$168=C22,Begegnungen!$E$169=C22,Begegnungen!$E$170=C22,Begegnungen!$E$171=C22),Begegnungen!$E$175,""))</f>
        <v/>
      </c>
      <c r="Y22" s="66">
        <f>IF(OR(Begegnungen!$I181=C22,Begegnungen!$I$166=C22,Begegnungen!$I$167=C22,Begegnungen!$I$168=C22,Begegnungen!$I$169=C22,Begegnungen!$I$170=C22,Begegnungen!$I$171=C22),Begegnungen!$I$175,IF(OR(Begegnungen!$K$165=C22,Begegnungen!$K$166=C22,Begegnungen!$K$167=C22,Begegnungen!$K$168=C22,Begegnungen!$K$169=C22,Begegnungen!$K$170=C22,Begegnungen!$K$171=C22),Begegnungen!$K$175,""))</f>
        <v>0</v>
      </c>
      <c r="Z22" s="66" t="str">
        <f>IF(OR(Begegnungen!$C197=C22,Begegnungen!$C$182=C22,Begegnungen!$C$183=C22,Begegnungen!$C$184=C22,Begegnungen!$C$185=C22,Begegnungen!$C$186=C22,Begegnungen!$C$187=C22),Begegnungen!$C$191,IF(OR(Begegnungen!$E$181=C22,Begegnungen!$E$182=C22,Begegnungen!$E$183=C22,Begegnungen!$E$184=C22,Begegnungen!$E$185=C22,Begegnungen!$E$186=C22,Begegnungen!$E$187=C22),Begegnungen!$E$191,""))</f>
        <v/>
      </c>
      <c r="AA22" s="66" t="str">
        <f>IF(OR(Begegnungen!$I197=C22,Begegnungen!$I$182=C22,Begegnungen!$I$183=C22,Begegnungen!$I$184=C22,Begegnungen!$I$185=C22,Begegnungen!$I$186=C22,Begegnungen!$I$187=C22),Begegnungen!$I$191,IF(OR(Begegnungen!$K$181=C22,Begegnungen!$K$182=C22,Begegnungen!$K$183=C22,Begegnungen!$K$184=C22,Begegnungen!$K$185=C22,Begegnungen!$K$186=C22,Begegnungen!$K$187=C22),Begegnungen!$K$191,""))</f>
        <v/>
      </c>
      <c r="AB22" s="66">
        <f>IF(OR(Begegnungen!$C213=C22,Begegnungen!$C$198=C22,Begegnungen!$C$199=C22,Begegnungen!$C$200=C22,Begegnungen!$C$201=C22,Begegnungen!$C$202=C22,Begegnungen!$C$203=C22),Begegnungen!$C$207,IF(OR(Begegnungen!$E$197=C22,Begegnungen!$E$198=C22,Begegnungen!$E$199=C22,Begegnungen!$E$200=C22,Begegnungen!$E$201=C22,Begegnungen!$E$202=C22,Begegnungen!$E$203=C22),Begegnungen!$E$207,""))</f>
        <v>3</v>
      </c>
      <c r="AC22" s="66" t="str">
        <f>IF(OR(Begegnungen!$I213=C22,Begegnungen!$I$198=C22,Begegnungen!$I$199=C22,Begegnungen!$I$200=C22,Begegnungen!$I$201=C22,Begegnungen!$I$202=C22,Begegnungen!$I$203=C22),Begegnungen!$I$207,IF(OR(Begegnungen!$K$197=C22,Begegnungen!$K$198=C22,Begegnungen!$K$199=C22,Begegnungen!$K$200=C22,Begegnungen!$K$201=C22,Begegnungen!$K$202=C22,Begegnungen!$K$203=C22),Begegnungen!$K$207,""))</f>
        <v/>
      </c>
      <c r="AD22" s="66" t="str">
        <f>IF(OR(Begegnungen!$C229=C22,Begegnungen!$C$214=C22,Begegnungen!$C$215=C22,Begegnungen!$C$216=C22,Begegnungen!$C$217=C22,Begegnungen!$C$218=C22,Begegnungen!$C$219=C22),Begegnungen!$C$223,IF(OR(Begegnungen!$E$213=C22,Begegnungen!$E$214=C22,Begegnungen!$E$215=C22,Begegnungen!$E$216=C22,Begegnungen!$E$217=C22,Begegnungen!$E$218=C22,Begegnungen!$E$219=C22),Begegnungen!$E$223,""))</f>
        <v/>
      </c>
      <c r="AE22" s="66" t="str">
        <f>IF(OR(Begegnungen!$I229=C22,Begegnungen!$I$214=C22,Begegnungen!$I$215=C22,Begegnungen!$I$216=C22,Begegnungen!$I$217=C22,Begegnungen!$I$218=C22,Begegnungen!$I$219=C22),Begegnungen!$I$223,IF(OR(Begegnungen!$K$213=C22,Begegnungen!$K$214=C22,Begegnungen!$K$215=C22,Begegnungen!$K$216=C22,Begegnungen!$K$217=C22,Begegnungen!$K$218=C22,Begegnungen!$K$219=C22),Begegnungen!$K$223,""))</f>
        <v/>
      </c>
      <c r="AF22" s="136" t="str">
        <f>IF(OR(Begegnungen!$C245=C22,Begegnungen!$C$230=C22,Begegnungen!$C$231=C22,Begegnungen!$C$232=C22,Begegnungen!$C$233=C22,Begegnungen!$C$234=C22,Begegnungen!$C$235=C22),Begegnungen!$C$239,IF(OR(Begegnungen!$E$229=C22,Begegnungen!$E$230=C22,Begegnungen!$E$231=C22,Begegnungen!$E$232=C22,Begegnungen!$E$233=C22,Begegnungen!$E$234=C22,Begegnungen!$E$235=C22),Begegnungen!$E$239,""))</f>
        <v/>
      </c>
      <c r="AG22" s="66" t="str">
        <f>IF(OR(Begegnungen!$I245=C22,Begegnungen!$I$230=C22,Begegnungen!$I$231=C22,Begegnungen!$I$232=C22,Begegnungen!$I$233=C22,Begegnungen!$I$234=C22,Begegnungen!$I$235=C22),Begegnungen!$I$239,IF(OR(Begegnungen!$K$229=C22,Begegnungen!$K$230=C22,Begegnungen!$K$231=C22,Begegnungen!$K$232=C22,Begegnungen!$K$233=C22,Begegnungen!$K$234=C22,Begegnungen!$K$235=C22),Begegnungen!$K$239,""))</f>
        <v/>
      </c>
      <c r="AH22" s="66" t="str">
        <f>IF(OR(Begegnungen!$C261=C22,Begegnungen!$C$246=C22,Begegnungen!$C$247=C22,Begegnungen!$C$248=C22,Begegnungen!$C$249=C22,Begegnungen!$C$250=C22,Begegnungen!$C$251=C22),Begegnungen!$C$255,IF(OR(Begegnungen!$E$245=C22,Begegnungen!$E$246=C22,Begegnungen!$E$247=C22,Begegnungen!$E$248=C22,Begegnungen!$E$249=C22,Begegnungen!$E$250=C22,Begegnungen!$E$251=C22),Begegnungen!$E$255,""))</f>
        <v/>
      </c>
      <c r="AI22" s="66" t="str">
        <f>IF(OR(Begegnungen!$I261=C22,Begegnungen!$I$246=C22,Begegnungen!$I$247=C22,Begegnungen!$I$248=C22,Begegnungen!$I$249=C22,Begegnungen!$I$250=C22,Begegnungen!$I$251=C22),Begegnungen!$I$255,IF(OR(Begegnungen!$K$245=C22,Begegnungen!$K$246=C22,Begegnungen!$K$247=C22,Begegnungen!$K$248=C22,Begegnungen!$K$249=C22,Begegnungen!$K$250=C22,Begegnungen!$K$251=C22),Begegnungen!$K$255,""))</f>
        <v/>
      </c>
      <c r="AJ22" s="66" t="str">
        <f>IF(OR(Begegnungen!$C277=C22,Begegnungen!$C$262=C22,Begegnungen!$C$263=C22,Begegnungen!$C$264=C22,Begegnungen!$C$265=C22,Begegnungen!$C$266=C22,Begegnungen!$C$267=C22),Begegnungen!$C$271,IF(OR(Begegnungen!$E$261=C22,Begegnungen!$E$262=C22,Begegnungen!$E$263=C22,Begegnungen!$E$264=C22,Begegnungen!$E$265=C22,Begegnungen!$E$266=C22,Begegnungen!$E$267=C22),Begegnungen!$E$271,""))</f>
        <v/>
      </c>
      <c r="AK22" s="66">
        <f>IF(OR(Begegnungen!$I277=C22,Begegnungen!$I$262=C22,Begegnungen!$I$263=C22,Begegnungen!$I$264=C22,Begegnungen!$I$265=C22,Begegnungen!$I$266=C22,Begegnungen!$I$267=C22),Begegnungen!$I$271,IF(OR(Begegnungen!$K$261=C22,Begegnungen!$K$262=C22,Begegnungen!$K$263=C22,Begegnungen!$K$264=C22,Begegnungen!$K$265=C22,Begegnungen!$K$266=C22,Begegnungen!$K$267=C22),Begegnungen!$K$271,""))</f>
        <v>1</v>
      </c>
      <c r="AL22" s="66">
        <f>IF(OR(Begegnungen!$C293=C22,Begegnungen!$C$278=C22,Begegnungen!$C$279=C22,Begegnungen!$C$280=C22,Begegnungen!$C$281=C22,Begegnungen!$C$282=C22,Begegnungen!$C$283=C22),Begegnungen!$C$287,IF(OR(Begegnungen!$E$277=C22,Begegnungen!$E$278=C22,Begegnungen!$E$279=C22,Begegnungen!$E$280=C22,Begegnungen!$E$281=C22,Begegnungen!$E$282=C22,Begegnungen!$E$283=C22),Begegnungen!$E$287,""))</f>
        <v>5</v>
      </c>
      <c r="AM22" s="136" t="str">
        <f>IF(OR(Begegnungen!$I293=C22,Begegnungen!$I$278=C22,Begegnungen!$I$279=C22,Begegnungen!$I$280=C22,Begegnungen!$I$281=C22,Begegnungen!$I$282=C22,Begegnungen!$I$283=C22),Begegnungen!$I$287,IF(OR(Begegnungen!$K$277=C22,Begegnungen!$K$278=C22,Begegnungen!$K$279=C22,Begegnungen!$K$280=C22,Begegnungen!$K$281=C22,Begegnungen!$K$282=C22,Begegnungen!$K$283=C22),Begegnungen!$K$287,""))</f>
        <v/>
      </c>
      <c r="AN22" s="66" t="str">
        <f>IF(OR(Begegnungen!$C309=C22,Begegnungen!$C$294=C22,Begegnungen!$C$295=C22,Begegnungen!$C$296=C22,Begegnungen!$C$297=C22,Begegnungen!$C$298=C22,Begegnungen!$C$299=C22),Begegnungen!$C$303,IF(OR(Begegnungen!$E$293=C22,Begegnungen!$E$294=C22,Begegnungen!$E$295=C22,Begegnungen!$E$296=C22,Begegnungen!$E$297=C22,Begegnungen!$E$298=C22,Begegnungen!$E$299=C22),Begegnungen!$E$303,""))</f>
        <v/>
      </c>
      <c r="AO22" s="136" t="str">
        <f>IF(OR(Begegnungen!$I309=C22,Begegnungen!$I$294=C22,Begegnungen!$I$295=C22,Begegnungen!$I$296=C22,Begegnungen!$I$297=C22,Begegnungen!$I$298=C22,Begegnungen!$I$299=C22),Begegnungen!$I$303,IF(OR(Begegnungen!$K$293=C22,Begegnungen!$K$294=C22,Begegnungen!$K$295=C22,Begegnungen!$K$296=C22,Begegnungen!$K$297=C22,Begegnungen!$K$298=C22,Begegnungen!$K$299=C22),Begegnungen!$K$303,""))</f>
        <v/>
      </c>
      <c r="AP22" s="136">
        <f>IF(OR(Begegnungen!$C325=C22,Begegnungen!$C$310=C22,Begegnungen!$C$311=C22,Begegnungen!$C$312=C22,Begegnungen!$C$313=C22,Begegnungen!$C$314=C22,Begegnungen!$C$315=C22),Begegnungen!$C$319,IF(OR(Begegnungen!$E$309=C22,Begegnungen!$E$310=C22,Begegnungen!$E$311=C22,Begegnungen!$E$312=C22,Begegnungen!$E$313=C22,Begegnungen!$E$314=C22,Begegnungen!$E$315=C22),Begegnungen!$E$319,""))</f>
        <v>7</v>
      </c>
      <c r="AQ22" s="66">
        <f>IF(OR(Begegnungen!$I325=C22,Begegnungen!$I$310=C22,Begegnungen!$I$311=C22,Begegnungen!$I$312=C22,Begegnungen!$I$313=C22,Begegnungen!$I$314=C22,Begegnungen!$I$315=C22),Begegnungen!$I$319,IF(OR(Begegnungen!$K$309=C22,Begegnungen!$K$310=C22,Begegnungen!$K$311=C22,Begegnungen!$K$312=C22,Begegnungen!$K$313=C22,Begegnungen!$K$314=C22,Begegnungen!$K$315=C22),Begegnungen!$K$319,""))</f>
        <v>4</v>
      </c>
      <c r="AR22" s="25">
        <f t="shared" si="0"/>
        <v>33</v>
      </c>
      <c r="AS22" s="139">
        <f>Spiele!AS22</f>
        <v>13</v>
      </c>
      <c r="AT22" s="140">
        <f t="shared" si="1"/>
        <v>2.5384615384615383</v>
      </c>
    </row>
    <row r="23" spans="2:46" x14ac:dyDescent="0.25">
      <c r="B23" s="4">
        <v>18</v>
      </c>
      <c r="C23" s="146" t="s">
        <v>56</v>
      </c>
      <c r="D23" s="148">
        <f>IF(OR(Begegnungen!$C$3=C23,Begegnungen!$C$4=C23,Begegnungen!$C$5=C23,Begegnungen!$C$6=C23,Begegnungen!$C$7=C23,Begegnungen!$C$8=C23,Begegnungen!$C$9=C23),Begegnungen!$C$13,IF(OR(Begegnungen!$E$3=C23,Begegnungen!$E$4=C23,Begegnungen!$E$5=C23,Begegnungen!$E$6=C23,Begegnungen!$E$7=C23,Begegnungen!$E$8=C23,Begegnungen!$E$9=C23),Begegnungen!$E$13,""))</f>
        <v>2</v>
      </c>
      <c r="E23" s="66">
        <f>IF(OR(Begegnungen!$I$3=C23,Begegnungen!$I$4=C23,Begegnungen!$I$5=C23,Begegnungen!$I$6=C23,Begegnungen!$I$7=C23,Begegnungen!$I$8=C23,Begegnungen!$I$9=C23),Begegnungen!$I$13,IF(OR(Begegnungen!$K$3=C23,Begegnungen!$K$4=C23,Begegnungen!$K$5=C23,Begegnungen!$K$6=C23,Begegnungen!$K$7=C23,Begegnungen!$K$8=C23,Begegnungen!$K$9=C23),Begegnungen!$K$13,""))</f>
        <v>0</v>
      </c>
      <c r="F23" s="66">
        <f>IF(OR(Begegnungen!$C$19=C23,Begegnungen!$C$20=C23,Begegnungen!$C$21=C23,Begegnungen!$C$22=C23,Begegnungen!$C$23=C23,Begegnungen!$C$24=C23,Begegnungen!$C$25=C23),Begegnungen!$C$29,IF(OR(Begegnungen!$E$19=C23,Begegnungen!$E$20=C23,Begegnungen!$E$21=C23,Begegnungen!$E$22=C23,Begegnungen!$E$23=C23,Begegnungen!$E$24=C23,Begegnungen!$E$25=C23),Begegnungen!$E$29,""))</f>
        <v>6</v>
      </c>
      <c r="G23" s="66">
        <f>IF(OR(Begegnungen!$I$19=C23,Begegnungen!$I$20=C23,Begegnungen!$I$21=C23,Begegnungen!$I$22=C23,Begegnungen!$I$23=C23,Begegnungen!$I$24=C23,Begegnungen!$I$25=C23),Begegnungen!$I$29,IF(OR(Begegnungen!$K$19=C23,Begegnungen!$K$20=C23,Begegnungen!$K$21=C23,Begegnungen!$K$22=C23,Begegnungen!$K$23=C23,Begegnungen!$K$24=C23,Begegnungen!$K$25=C23),Begegnungen!$K$29,""))</f>
        <v>3</v>
      </c>
      <c r="H23" s="66" t="str">
        <f>IF(OR(Begegnungen!$C$35=C23,Begegnungen!$C$36=C23,Begegnungen!$C$37=C23,Begegnungen!$C$38=C23,Begegnungen!$C$39=C23,Begegnungen!$C$40=C23,Begegnungen!$C$41=C23),Begegnungen!$C$46,IF(OR(Begegnungen!$E$35=C23,Begegnungen!$E$36=C23,Begegnungen!$E$37=C23,Begegnungen!$E$38=C23,Begegnungen!$E$39=C23,Begegnungen!$E$40=C23,Begegnungen!$E$41=C23),Begegnungen!$E$46,""))</f>
        <v/>
      </c>
      <c r="I23" s="66">
        <f>IF(OR(Begegnungen!$I$35=C23,Begegnungen!$I$36=C23,Begegnungen!$I$37=C23,Begegnungen!$I$38=C23,Begegnungen!$I$39=C23,Begegnungen!$I$40=C23,Begegnungen!$I$41=C23),Begegnungen!$I$46,IF(OR(Begegnungen!$K$35=C23,Begegnungen!$K$36=C23,Begegnungen!$K$37=C23,Begegnungen!$K$38=C23,Begegnungen!$K$39=C23,Begegnungen!$K$40=C23,Begegnungen!$K$41=C23),Begegnungen!$K$46,""))</f>
        <v>3</v>
      </c>
      <c r="J23" s="136">
        <f>IF(OR(Begegnungen!$C$52=C23,Begegnungen!$C$53=C23,Begegnungen!$C$54=C23,Begegnungen!$C$55=C23,Begegnungen!$C$56=C23,Begegnungen!$C$57=C23,Begegnungen!$C$58=C23),Begegnungen!$C$62,IF(OR(Begegnungen!$E$52=C23,Begegnungen!$E$53=C23,Begegnungen!$E$54=C23,Begegnungen!$E$55=C23,Begegnungen!$E$56=C23,Begegnungen!$E$57=C23,Begegnungen!$E$58=C23),Begegnungen!$E$62,""))</f>
        <v>2</v>
      </c>
      <c r="K23" s="66">
        <f>IF(OR(Begegnungen!$I$52=C23,Begegnungen!$I$53=C23,Begegnungen!$I$54=C23,Begegnungen!$I$55=C23,Begegnungen!$I$56=C23,Begegnungen!$I$57=C23,Begegnungen!$I$58=C23),Begegnungen!$I$62,IF(OR(Begegnungen!$K$52=C23,Begegnungen!$K$53=C23,Begegnungen!$K$54=C23,Begegnungen!$K$55=C23,Begegnungen!$K$56=C23,Begegnungen!$K$57=C23,Begegnungen!$K$58=C23),Begegnungen!$K$62,""))</f>
        <v>4</v>
      </c>
      <c r="L23" s="136" t="str">
        <f>IF(OR(Begegnungen!$C85=C23,Begegnungen!$C$69=C23,Begegnungen!$C$70=C23,Begegnungen!$C$71=C23,Begegnungen!$C$72=C23,Begegnungen!$C$73=C23,Begegnungen!$C$74=C23),Begegnungen!$C$78,IF(OR(Begegnungen!$E$68=C23,Begegnungen!$E$69=C23,Begegnungen!$E$70=C23,Begegnungen!$E$71=C23,Begegnungen!$E$72=C23,Begegnungen!$E$73=C23,Begegnungen!$E$74=C23),Begegnungen!$E$78,""))</f>
        <v/>
      </c>
      <c r="M23" s="66">
        <f>IF(OR(Begegnungen!$I85=C23,Begegnungen!$I$69=C23,Begegnungen!$I$70=C23,Begegnungen!$I$71=C23,Begegnungen!$I$72=C23,Begegnungen!$I$73=C23,Begegnungen!$I$74=C23),Begegnungen!$I$78,IF(OR(Begegnungen!$K$68=C23,Begegnungen!$K$69=C23,Begegnungen!$K$70=C23,Begegnungen!$K$71=C23,Begegnungen!$K$72=C23,Begegnungen!$K$73=C23,Begegnungen!$K$74=C23),Begegnungen!$K$78,""))</f>
        <v>0</v>
      </c>
      <c r="N23" s="66" t="str">
        <f>IF(OR(Begegnungen!$C102=C23,Begegnungen!$C$85=C23,Begegnungen!$C$86=C23,Begegnungen!$C$87=C23,Begegnungen!$C$88=C23,Begegnungen!$C$89=C23,Begegnungen!$C$90=C23),Begegnungen!$C$95,IF(OR(Begegnungen!$E$84=C23,Begegnungen!$E$85=C23,Begegnungen!$E$86=C23,Begegnungen!$E$87=C23,Begegnungen!$E$88=C23,Begegnungen!$E$89=C23,Begegnungen!$E$90=C23),Begegnungen!$E$95,""))</f>
        <v/>
      </c>
      <c r="O23" s="66" t="str">
        <f>IF(OR(Begegnungen!$I102=C23,Begegnungen!$I$85=C23,Begegnungen!$I$86=C23,Begegnungen!$I$87=C23,Begegnungen!$I$88=C23,Begegnungen!$I$89=C23,Begegnungen!$I$90=C23,Begegnungen!$I$91=C23),Begegnungen!$I$95,IF(OR(Begegnungen!$K$84=C23,Begegnungen!$K$85=C23,Begegnungen!$K$86=C23,Begegnungen!$K$87=C23,Begegnungen!$K$88=C23,Begegnungen!$K$89=C23,Begegnungen!$K$90=C23,Begegnungen!$K$91=C23),Begegnungen!$K$95,""))</f>
        <v/>
      </c>
      <c r="P23" s="66" t="str">
        <f>IF(OR(Begegnungen!$C118=C23,Begegnungen!$C$102=C23,Begegnungen!$C$103=C23,Begegnungen!$C$104=C23,Begegnungen!$C$105=C23,Begegnungen!$C$106=C23,Begegnungen!$C$107=C23),Begegnungen!$C$111,IF(OR(Begegnungen!$E$101=C23,Begegnungen!$E$102=C23,Begegnungen!$E$103=C23,Begegnungen!$E$104=C23,Begegnungen!$E$105=C23,Begegnungen!$E$106=C23,Begegnungen!$E$107=C23),Begegnungen!$E$111,""))</f>
        <v/>
      </c>
      <c r="Q23" s="66" t="str">
        <f>IF(OR(Begegnungen!$I118=C23,Begegnungen!$I$102=C23,Begegnungen!$I$103=C23,Begegnungen!$I$104=C23,Begegnungen!$I$105=C23,Begegnungen!$I$106=C23,Begegnungen!$I$107=C23),Begegnungen!$I$111,IF(OR(Begegnungen!$K$101=C23,Begegnungen!$K$102=C23,Begegnungen!$K$103=C23,Begegnungen!$K$104=C23,Begegnungen!$K$105=C23,Begegnungen!$K$106=C23,Begegnungen!$K$107=C23),Begegnungen!$K$111,""))</f>
        <v/>
      </c>
      <c r="R23" s="136" t="str">
        <f>IF(OR(Begegnungen!$C134=C23,Begegnungen!$C$118=C23,Begegnungen!$C$119=C23,Begegnungen!$C$120=C23,Begegnungen!$C$121=C23,Begegnungen!$C$122=C23,Begegnungen!$C$123=C23),Begegnungen!$C$127,IF(OR(Begegnungen!$E$117=C23,Begegnungen!$E$118=C23,Begegnungen!$E$119=C23,Begegnungen!$E$120=C23,Begegnungen!$E$121=C23,Begegnungen!$E$122=C23,Begegnungen!$E$123=C23),Begegnungen!$E$127,""))</f>
        <v/>
      </c>
      <c r="S23" s="66" t="str">
        <f>IF(OR(Begegnungen!$I$117=C23,Begegnungen!$I$118=C23,Begegnungen!$I$119=C23,Begegnungen!$I$120=C23,Begegnungen!$I$121=C23,Begegnungen!$I$122=C23,Begegnungen!$I$123=C23),Begegnungen!$I$127,IF(OR(Begegnungen!$K$117=C23,Begegnungen!$K$118=C23,Begegnungen!$K$119=C23,Begegnungen!$K$120=C23,Begegnungen!$K$121=C23,Begegnungen!$K$122=C23,Begegnungen!$K$123=C23),Begegnungen!$K$127,""))</f>
        <v/>
      </c>
      <c r="T23" s="66" t="str">
        <f>IF(OR(Begegnungen!$C150=C23,Begegnungen!$C$134=C23,Begegnungen!$C$135=C23,Begegnungen!$C$136=C23,Begegnungen!$C$137=C23,Begegnungen!$C$138=C23,Begegnungen!$C$139=C23),Begegnungen!$C$143,IF(OR(Begegnungen!$E$133=C23,Begegnungen!$E$134=C23,Begegnungen!$E$135=C23,Begegnungen!$E$136=C23,Begegnungen!$E$137=C23,Begegnungen!$E$138=C23,Begegnungen!$E$139=C23),Begegnungen!$E$143,""))</f>
        <v/>
      </c>
      <c r="U23" s="66" t="str">
        <f>IF(OR(Begegnungen!$I150=C23,Begegnungen!$I$134=C23,Begegnungen!$I$135=C23,Begegnungen!$I$136=C23,Begegnungen!$I$137=C23,Begegnungen!$I$138=C23,Begegnungen!$I$139=C23),Begegnungen!$I$143,IF(OR(Begegnungen!$K$133=C23,Begegnungen!$K$134=C23,Begegnungen!$K$135=C23,Begegnungen!$K$136=C23,Begegnungen!$K$137=C23,Begegnungen!$K$138=C23,Begegnungen!$K$139=C23),Begegnungen!$K$143,""))</f>
        <v/>
      </c>
      <c r="V23" s="66" t="str">
        <f>IF(OR(Begegnungen!$C166=C23,Begegnungen!$C$150=C23,Begegnungen!$C$151=C23,Begegnungen!$C$152=C23,Begegnungen!$C$153=C23,Begegnungen!$C$154=C23,Begegnungen!$C$155=C23),Begegnungen!$C$159,IF(OR(Begegnungen!$E$149=C23,Begegnungen!$E$150=C23,Begegnungen!$E$151=C23,Begegnungen!$E$152=C23,Begegnungen!$E$153=C23,Begegnungen!$E$154=C23,Begegnungen!$E$155=C23),Begegnungen!$E$159,""))</f>
        <v/>
      </c>
      <c r="W23" s="66" t="str">
        <f>IF(OR(Begegnungen!$I166=C23,Begegnungen!$I$150=C23,Begegnungen!$I$151=C23,Begegnungen!$I$152=C23,Begegnungen!$I$153=C23,Begegnungen!$I$154=C23,Begegnungen!$I$155=C23),Begegnungen!$I$159,IF(OR(Begegnungen!$K$149=C23,Begegnungen!$K$150=C23,Begegnungen!$K$151=C23,Begegnungen!$K$152=C23,Begegnungen!$K$153=C23,Begegnungen!$K$154=C23,Begegnungen!$K$155=C23),Begegnungen!$K$159,""))</f>
        <v/>
      </c>
      <c r="X23" s="66" t="str">
        <f>IF(OR(Begegnungen!$C182=C23,Begegnungen!$C$166=C23,Begegnungen!$C$167=C23,Begegnungen!$C$168=C23,Begegnungen!$C$169=C23,Begegnungen!$C$170=C23,Begegnungen!$C$171=C23),Begegnungen!$C$175,IF(OR(Begegnungen!$E$165=C23,Begegnungen!$E$166=C23,Begegnungen!$E$167=C23,Begegnungen!$E$168=C23,Begegnungen!$E$169=C23,Begegnungen!$E$170=C23,Begegnungen!$E$171=C23),Begegnungen!$E$175,""))</f>
        <v/>
      </c>
      <c r="Y23" s="66" t="str">
        <f>IF(OR(Begegnungen!$I182=C23,Begegnungen!$I$166=C23,Begegnungen!$I$167=C23,Begegnungen!$I$168=C23,Begegnungen!$I$169=C23,Begegnungen!$I$170=C23,Begegnungen!$I$171=C23),Begegnungen!$I$175,IF(OR(Begegnungen!$K$165=C23,Begegnungen!$K$166=C23,Begegnungen!$K$167=C23,Begegnungen!$K$168=C23,Begegnungen!$K$169=C23,Begegnungen!$K$170=C23,Begegnungen!$K$171=C23),Begegnungen!$K$175,""))</f>
        <v/>
      </c>
      <c r="Z23" s="66" t="str">
        <f>IF(OR(Begegnungen!$C198=C23,Begegnungen!$C$182=C23,Begegnungen!$C$183=C23,Begegnungen!$C$184=C23,Begegnungen!$C$185=C23,Begegnungen!$C$186=C23,Begegnungen!$C$187=C23),Begegnungen!$C$191,IF(OR(Begegnungen!$E$181=C23,Begegnungen!$E$182=C23,Begegnungen!$E$183=C23,Begegnungen!$E$184=C23,Begegnungen!$E$185=C23,Begegnungen!$E$186=C23,Begegnungen!$E$187=C23),Begegnungen!$E$191,""))</f>
        <v/>
      </c>
      <c r="AA23" s="66" t="str">
        <f>IF(OR(Begegnungen!$I198=C23,Begegnungen!$I$182=C23,Begegnungen!$I$183=C23,Begegnungen!$I$184=C23,Begegnungen!$I$185=C23,Begegnungen!$I$186=C23,Begegnungen!$I$187=C23),Begegnungen!$I$191,IF(OR(Begegnungen!$K$181=C23,Begegnungen!$K$182=C23,Begegnungen!$K$183=C23,Begegnungen!$K$184=C23,Begegnungen!$K$185=C23,Begegnungen!$K$186=C23,Begegnungen!$K$187=C23),Begegnungen!$K$191,""))</f>
        <v/>
      </c>
      <c r="AB23" s="66" t="str">
        <f>IF(OR(Begegnungen!$C214=C23,Begegnungen!$C$198=C23,Begegnungen!$C$199=C23,Begegnungen!$C$200=C23,Begegnungen!$C$201=C23,Begegnungen!$C$202=C23,Begegnungen!$C$203=C23),Begegnungen!$C$207,IF(OR(Begegnungen!$E$197=C23,Begegnungen!$E$198=C23,Begegnungen!$E$199=C23,Begegnungen!$E$200=C23,Begegnungen!$E$201=C23,Begegnungen!$E$202=C23,Begegnungen!$E$203=C23),Begegnungen!$E$207,""))</f>
        <v/>
      </c>
      <c r="AC23" s="66" t="str">
        <f>IF(OR(Begegnungen!$I214=C23,Begegnungen!$I$198=C23,Begegnungen!$I$199=C23,Begegnungen!$I$200=C23,Begegnungen!$I$201=C23,Begegnungen!$I$202=C23,Begegnungen!$I$203=C23),Begegnungen!$I$207,IF(OR(Begegnungen!$K$197=C23,Begegnungen!$K$198=C23,Begegnungen!$K$199=C23,Begegnungen!$K$200=C23,Begegnungen!$K$201=C23,Begegnungen!$K$202=C23,Begegnungen!$K$203=C23),Begegnungen!$K$207,""))</f>
        <v/>
      </c>
      <c r="AD23" s="66" t="str">
        <f>IF(OR(Begegnungen!$C230=C23,Begegnungen!$C$214=C23,Begegnungen!$C$215=C23,Begegnungen!$C$216=C23,Begegnungen!$C$217=C23,Begegnungen!$C$218=C23,Begegnungen!$C$219=C23),Begegnungen!$C$223,IF(OR(Begegnungen!$E$213=C23,Begegnungen!$E$214=C23,Begegnungen!$E$215=C23,Begegnungen!$E$216=C23,Begegnungen!$E$217=C23,Begegnungen!$E$218=C23,Begegnungen!$E$219=C23),Begegnungen!$E$223,""))</f>
        <v/>
      </c>
      <c r="AE23" s="66" t="str">
        <f>IF(OR(Begegnungen!$I230=C23,Begegnungen!$I$214=C23,Begegnungen!$I$215=C23,Begegnungen!$I$216=C23,Begegnungen!$I$217=C23,Begegnungen!$I$218=C23,Begegnungen!$I$219=C23),Begegnungen!$I$223,IF(OR(Begegnungen!$K$213=C23,Begegnungen!$K$214=C23,Begegnungen!$K$215=C23,Begegnungen!$K$216=C23,Begegnungen!$K$217=C23,Begegnungen!$K$218=C23,Begegnungen!$K$219=C23),Begegnungen!$K$223,""))</f>
        <v/>
      </c>
      <c r="AF23" s="136" t="str">
        <f>IF(OR(Begegnungen!$C246=C23,Begegnungen!$C$230=C23,Begegnungen!$C$231=C23,Begegnungen!$C$232=C23,Begegnungen!$C$233=C23,Begegnungen!$C$234=C23,Begegnungen!$C$235=C23),Begegnungen!$C$239,IF(OR(Begegnungen!$E$229=C23,Begegnungen!$E$230=C23,Begegnungen!$E$231=C23,Begegnungen!$E$232=C23,Begegnungen!$E$233=C23,Begegnungen!$E$234=C23,Begegnungen!$E$235=C23),Begegnungen!$E$239,""))</f>
        <v/>
      </c>
      <c r="AG23" s="66" t="str">
        <f>IF(OR(Begegnungen!$I246=C23,Begegnungen!$I$230=C23,Begegnungen!$I$231=C23,Begegnungen!$I$232=C23,Begegnungen!$I$233=C23,Begegnungen!$I$234=C23,Begegnungen!$I$235=C23),Begegnungen!$I$239,IF(OR(Begegnungen!$K$229=C23,Begegnungen!$K$230=C23,Begegnungen!$K$231=C23,Begegnungen!$K$232=C23,Begegnungen!$K$233=C23,Begegnungen!$K$234=C23,Begegnungen!$K$235=C23),Begegnungen!$K$239,""))</f>
        <v/>
      </c>
      <c r="AH23" s="66" t="str">
        <f>IF(OR(Begegnungen!$C262=C23,Begegnungen!$C$246=C23,Begegnungen!$C$247=C23,Begegnungen!$C$248=C23,Begegnungen!$C$249=C23,Begegnungen!$C$250=C23,Begegnungen!$C$251=C23),Begegnungen!$C$255,IF(OR(Begegnungen!$E$245=C23,Begegnungen!$E$246=C23,Begegnungen!$E$247=C23,Begegnungen!$E$248=C23,Begegnungen!$E$249=C23,Begegnungen!$E$250=C23,Begegnungen!$E$251=C23),Begegnungen!$E$255,""))</f>
        <v/>
      </c>
      <c r="AI23" s="66" t="str">
        <f>IF(OR(Begegnungen!$I262=C23,Begegnungen!$I$246=C23,Begegnungen!$I$247=C23,Begegnungen!$I$248=C23,Begegnungen!$I$249=C23,Begegnungen!$I$250=C23,Begegnungen!$I$251=C23),Begegnungen!$I$255,IF(OR(Begegnungen!$K$245=C23,Begegnungen!$K$246=C23,Begegnungen!$K$247=C23,Begegnungen!$K$248=C23,Begegnungen!$K$249=C23,Begegnungen!$K$250=C23,Begegnungen!$K$251=C23),Begegnungen!$K$255,""))</f>
        <v/>
      </c>
      <c r="AJ23" s="66">
        <f>IF(OR(Begegnungen!$C278=C23,Begegnungen!$C$262=C23,Begegnungen!$C$263=C23,Begegnungen!$C$264=C23,Begegnungen!$C$265=C23,Begegnungen!$C$266=C23,Begegnungen!$C$267=C23),Begegnungen!$C$271,IF(OR(Begegnungen!$E$261=C23,Begegnungen!$E$262=C23,Begegnungen!$E$263=C23,Begegnungen!$E$264=C23,Begegnungen!$E$265=C23,Begegnungen!$E$266=C23,Begegnungen!$E$267=C23),Begegnungen!$E$271,""))</f>
        <v>3</v>
      </c>
      <c r="AK23" s="66">
        <f>IF(OR(Begegnungen!$I278=C23,Begegnungen!$I$262=C23,Begegnungen!$I$263=C23,Begegnungen!$I$264=C23,Begegnungen!$I$265=C23,Begegnungen!$I$266=C23,Begegnungen!$I$267=C23),Begegnungen!$I$271,IF(OR(Begegnungen!$K$261=C23,Begegnungen!$K$262=C23,Begegnungen!$K$263=C23,Begegnungen!$K$264=C23,Begegnungen!$K$265=C23,Begegnungen!$K$266=C23,Begegnungen!$K$267=C23),Begegnungen!$K$271,""))</f>
        <v>1</v>
      </c>
      <c r="AL23" s="66">
        <f>IF(OR(Begegnungen!$C294=C23,Begegnungen!$C$278=C23,Begegnungen!$C$279=C23,Begegnungen!$C$280=C23,Begegnungen!$C$281=C23,Begegnungen!$C$282=C23,Begegnungen!$C$283=C23),Begegnungen!$C$287,IF(OR(Begegnungen!$E$277=C23,Begegnungen!$E$278=C23,Begegnungen!$E$279=C23,Begegnungen!$E$280=C23,Begegnungen!$E$281=C23,Begegnungen!$E$282=C23,Begegnungen!$E$283=C23),Begegnungen!$E$287,""))</f>
        <v>5</v>
      </c>
      <c r="AM23" s="136">
        <f>IF(OR(Begegnungen!$I294=C23,Begegnungen!$I$278=C23,Begegnungen!$I$279=C23,Begegnungen!$I$280=C23,Begegnungen!$I$281=C23,Begegnungen!$I$282=C23,Begegnungen!$I$283=C23),Begegnungen!$I$287,IF(OR(Begegnungen!$K$277=C23,Begegnungen!$K$278=C23,Begegnungen!$K$279=C23,Begegnungen!$K$280=C23,Begegnungen!$K$281=C23,Begegnungen!$K$282=C23,Begegnungen!$K$283=C23),Begegnungen!$K$287,""))</f>
        <v>3</v>
      </c>
      <c r="AN23" s="66">
        <f>IF(OR(Begegnungen!$C310=C23,Begegnungen!$C$294=C23,Begegnungen!$C$295=C23,Begegnungen!$C$296=C23,Begegnungen!$C$297=C23,Begegnungen!$C$298=C23,Begegnungen!$C$299=C23),Begegnungen!$C$303,IF(OR(Begegnungen!$E$293=C23,Begegnungen!$E$294=C23,Begegnungen!$E$295=C23,Begegnungen!$E$296=C23,Begegnungen!$E$297=C23,Begegnungen!$E$298=C23,Begegnungen!$E$299=C23),Begegnungen!$E$303,""))</f>
        <v>3</v>
      </c>
      <c r="AO23" s="136">
        <f>IF(OR(Begegnungen!$I310=C23,Begegnungen!$I$294=C23,Begegnungen!$I$295=C23,Begegnungen!$I$296=C23,Begegnungen!$I$297=C23,Begegnungen!$I$298=C23,Begegnungen!$I$299=C23),Begegnungen!$I$303,IF(OR(Begegnungen!$K$293=C23,Begegnungen!$K$294=C23,Begegnungen!$K$295=C23,Begegnungen!$K$296=C23,Begegnungen!$K$297=C23,Begegnungen!$K$298=C23,Begegnungen!$K$299=C23),Begegnungen!$K$303,""))</f>
        <v>3</v>
      </c>
      <c r="AP23" s="136">
        <f>IF(OR(Begegnungen!$C326=C23,Begegnungen!$C$310=C23,Begegnungen!$C$311=C23,Begegnungen!$C$312=C23,Begegnungen!$C$313=C23,Begegnungen!$C$314=C23,Begegnungen!$C$315=C23),Begegnungen!$C$319,IF(OR(Begegnungen!$E$309=C23,Begegnungen!$E$310=C23,Begegnungen!$E$311=C23,Begegnungen!$E$312=C23,Begegnungen!$E$313=C23,Begegnungen!$E$314=C23,Begegnungen!$E$315=C23),Begegnungen!$E$319,""))</f>
        <v>2</v>
      </c>
      <c r="AQ23" s="66">
        <f>IF(OR(Begegnungen!$I326=C23,Begegnungen!$I$310=C23,Begegnungen!$I$311=C23,Begegnungen!$I$312=C23,Begegnungen!$I$313=C23,Begegnungen!$I$314=C23,Begegnungen!$I$315=C23),Begegnungen!$I$319,IF(OR(Begegnungen!$K$309=C23,Begegnungen!$K$310=C23,Begegnungen!$K$311=C23,Begegnungen!$K$312=C23,Begegnungen!$K$313=C23,Begegnungen!$K$314=C23,Begegnungen!$K$315=C23),Begegnungen!$K$319,""))</f>
        <v>4</v>
      </c>
      <c r="AR23" s="25">
        <f t="shared" si="0"/>
        <v>44</v>
      </c>
      <c r="AS23" s="139">
        <f>Spiele!AS23</f>
        <v>16</v>
      </c>
      <c r="AT23" s="140">
        <f t="shared" si="1"/>
        <v>2.75</v>
      </c>
    </row>
    <row r="24" spans="2:46" x14ac:dyDescent="0.25">
      <c r="B24" s="4">
        <v>18</v>
      </c>
      <c r="C24" s="146" t="s">
        <v>122</v>
      </c>
      <c r="D24" s="272" t="str">
        <f>IF(OR(Begegnungen!$C$3=C24,Begegnungen!$C$4=C24,Begegnungen!$C$5=C24,Begegnungen!$C$6=C24,Begegnungen!$C$7=C24,Begegnungen!$C$8=C24,Begegnungen!$C$9=C24),Begegnungen!$C$13,IF(OR(Begegnungen!$E$3=C24,Begegnungen!$E$4=C24,Begegnungen!$E$5=C24,Begegnungen!$E$6=C24,Begegnungen!$E$7=C24,Begegnungen!$E$8=C24,Begegnungen!$E$9=C24),Begegnungen!$E$13,""))</f>
        <v/>
      </c>
      <c r="E24" s="273" t="str">
        <f>IF(OR(Begegnungen!$I$3=C24,Begegnungen!$I$4=C24,Begegnungen!$I$5=C24,Begegnungen!$I$6=C24,Begegnungen!$I$7=C24,Begegnungen!$I$8=C24,Begegnungen!$I$9=C24),Begegnungen!$I$13,IF(OR(Begegnungen!$K$3=C24,Begegnungen!$K$4=C24,Begegnungen!$K$5=C24,Begegnungen!$K$6=C24,Begegnungen!$K$7=C24,Begegnungen!$K$8=C24,Begegnungen!$K$9=C24),Begegnungen!$K$13,""))</f>
        <v/>
      </c>
      <c r="F24" s="273">
        <f>IF(OR(Begegnungen!$C$19=C24,Begegnungen!$C$20=C24,Begegnungen!$C$21=C24,Begegnungen!$C$22=C24,Begegnungen!$C$23=C24,Begegnungen!$C$24=C24,Begegnungen!$C$25=C24),Begegnungen!$C$29,IF(OR(Begegnungen!$E$19=C24,Begegnungen!$E$20=C24,Begegnungen!$E$21=C24,Begegnungen!$E$22=C24,Begegnungen!$E$23=C24,Begegnungen!$E$24=C24,Begegnungen!$E$25=C24),Begegnungen!$E$29,""))</f>
        <v>4</v>
      </c>
      <c r="G24" s="273">
        <f>IF(OR(Begegnungen!$I$19=C24,Begegnungen!$I$20=C24,Begegnungen!$I$21=C24,Begegnungen!$I$22=C24,Begegnungen!$I$23=C24,Begegnungen!$I$24=C24,Begegnungen!$I$25=C24),Begegnungen!$I$29,IF(OR(Begegnungen!$K$19=C24,Begegnungen!$K$20=C24,Begegnungen!$K$21=C24,Begegnungen!$K$22=C24,Begegnungen!$K$23=C24,Begegnungen!$K$24=C24,Begegnungen!$K$25=C24),Begegnungen!$K$29,""))</f>
        <v>3</v>
      </c>
      <c r="H24" s="273">
        <f>IF(OR(Begegnungen!$C$35=C24,Begegnungen!$C$36=C24,Begegnungen!$C$37=C24,Begegnungen!$C$38=C24,Begegnungen!$C$39=C24,Begegnungen!$C$40=C24,Begegnungen!$C$41=C24),Begegnungen!$C$46,IF(OR(Begegnungen!$E$35=C24,Begegnungen!$E$36=C24,Begegnungen!$E$37=C24,Begegnungen!$E$38=C24,Begegnungen!$E$39=C24,Begegnungen!$E$40=C24,Begegnungen!$E$41=C24),Begegnungen!$E$46,""))</f>
        <v>6</v>
      </c>
      <c r="I24" s="273">
        <f>IF(OR(Begegnungen!$I$35=C24,Begegnungen!$I$36=C24,Begegnungen!$I$37=C24,Begegnungen!$I$38=C24,Begegnungen!$I$39=C24,Begegnungen!$I$40=C24,Begegnungen!$I$41=C24),Begegnungen!$I$46,IF(OR(Begegnungen!$K$35=C24,Begegnungen!$K$36=C24,Begegnungen!$K$37=C24,Begegnungen!$K$38=C24,Begegnungen!$K$39=C24,Begegnungen!$K$40=C24,Begegnungen!$K$41=C24),Begegnungen!$K$46,""))</f>
        <v>3</v>
      </c>
      <c r="J24" s="136">
        <f>IF(OR(Begegnungen!$C$52=C24,Begegnungen!$C$53=C24,Begegnungen!$C$54=C24,Begegnungen!$C$55=C24,Begegnungen!$C$56=C24,Begegnungen!$C$57=C24,Begegnungen!$C$58=C24),Begegnungen!$C$62,IF(OR(Begegnungen!$E$52=C24,Begegnungen!$E$53=C24,Begegnungen!$E$54=C24,Begegnungen!$E$55=C24,Begegnungen!$E$56=C24,Begegnungen!$E$57=C24,Begegnungen!$E$58=C24),Begegnungen!$E$62,""))</f>
        <v>2</v>
      </c>
      <c r="K24" s="273" t="str">
        <f>IF(OR(Begegnungen!$I$52=C24,Begegnungen!$I$53=C24,Begegnungen!$I$54=C24,Begegnungen!$I$55=C24,Begegnungen!$I$56=C24,Begegnungen!$I$57=C24,Begegnungen!$I$58=C24),Begegnungen!$I$62,IF(OR(Begegnungen!$K$52=C24,Begegnungen!$K$53=C24,Begegnungen!$K$54=C24,Begegnungen!$K$55=C24,Begegnungen!$K$56=C24,Begegnungen!$K$57=C24,Begegnungen!$K$58=C24),Begegnungen!$K$62,""))</f>
        <v/>
      </c>
      <c r="L24" s="136">
        <f>IF(OR(Begegnungen!$C86=C24,Begegnungen!$C$69=C24,Begegnungen!$C$70=C24,Begegnungen!$C$71=C24,Begegnungen!$C$72=C24,Begegnungen!$C$73=C24,Begegnungen!$C$74=C24),Begegnungen!$C$78,IF(OR(Begegnungen!$E$68=C24,Begegnungen!$E$69=C24,Begegnungen!$E$70=C24,Begegnungen!$E$71=C24,Begegnungen!$E$72=C24,Begegnungen!$E$73=C24,Begegnungen!$E$74=C24),Begegnungen!$E$78,""))</f>
        <v>3</v>
      </c>
      <c r="M24" s="273">
        <f>IF(OR(Begegnungen!$I86=C24,Begegnungen!$I$69=C24,Begegnungen!$I$70=C24,Begegnungen!$I$71=C24,Begegnungen!$I$72=C24,Begegnungen!$I$73=C24,Begegnungen!$I$74=C24),Begegnungen!$I$78,IF(OR(Begegnungen!$K$68=C24,Begegnungen!$K$69=C24,Begegnungen!$K$70=C24,Begegnungen!$K$71=C24,Begegnungen!$K$72=C24,Begegnungen!$K$73=C24,Begegnungen!$K$74=C24),Begegnungen!$K$78,""))</f>
        <v>0</v>
      </c>
      <c r="N24" s="273">
        <f>IF(OR(Begegnungen!$C103=C24,Begegnungen!$C$85=C24,Begegnungen!$C$86=C24,Begegnungen!$C$87=C24,Begegnungen!$C$88=C24,Begegnungen!$C$89=C24,Begegnungen!$C$90=C24),Begegnungen!$C$95,IF(OR(Begegnungen!$E$84=C24,Begegnungen!$E$85=C24,Begegnungen!$E$86=C24,Begegnungen!$E$87=C24,Begegnungen!$E$88=C24,Begegnungen!$E$89=C24,Begegnungen!$E$90=C24),Begegnungen!$E$95,""))</f>
        <v>3</v>
      </c>
      <c r="O24" s="273">
        <f>IF(OR(Begegnungen!$I103=C24,Begegnungen!$I$85=C24,Begegnungen!$I$86=C24,Begegnungen!$I$87=C24,Begegnungen!$I$88=C24,Begegnungen!$I$89=C24,Begegnungen!$I$90=C24,Begegnungen!$I$91=C24),Begegnungen!$I$95,IF(OR(Begegnungen!$K$84=C24,Begegnungen!$K$85=C24,Begegnungen!$K$86=C24,Begegnungen!$K$87=C24,Begegnungen!$K$88=C24,Begegnungen!$K$89=C24,Begegnungen!$K$90=C24,Begegnungen!$K$91=C24),Begegnungen!$K$95,""))</f>
        <v>2</v>
      </c>
      <c r="P24" s="273">
        <f>IF(OR(Begegnungen!$C119=C24,Begegnungen!$C$102=C24,Begegnungen!$C$103=C24,Begegnungen!$C$104=C24,Begegnungen!$C$105=C24,Begegnungen!$C$106=C24,Begegnungen!$C$107=C24),Begegnungen!$C$111,IF(OR(Begegnungen!$E$101=C24,Begegnungen!$E$102=C24,Begegnungen!$E$103=C24,Begegnungen!$E$104=C24,Begegnungen!$E$105=C24,Begegnungen!$E$106=C24,Begegnungen!$E$107=C24),Begegnungen!$E$111,""))</f>
        <v>2</v>
      </c>
      <c r="Q24" s="273">
        <f>IF(OR(Begegnungen!$I119=C24,Begegnungen!$I$102=C24,Begegnungen!$I$103=C24,Begegnungen!$I$104=C24,Begegnungen!$I$105=C24,Begegnungen!$I$106=C24,Begegnungen!$I$107=C24),Begegnungen!$I$111,IF(OR(Begegnungen!$K$101=C24,Begegnungen!$K$102=C24,Begegnungen!$K$103=C24,Begegnungen!$K$104=C24,Begegnungen!$K$105=C24,Begegnungen!$K$106=C24,Begegnungen!$K$107=C24),Begegnungen!$K$111,""))</f>
        <v>3</v>
      </c>
      <c r="R24" s="136">
        <f>IF(OR(Begegnungen!$C135=C24,Begegnungen!$C$118=C24,Begegnungen!$C$119=C24,Begegnungen!$C$120=C24,Begegnungen!$C$121=C24,Begegnungen!$C$122=C24,Begegnungen!$C$123=C24),Begegnungen!$C$127,IF(OR(Begegnungen!$E$117=C24,Begegnungen!$E$118=C24,Begegnungen!$E$119=C24,Begegnungen!$E$120=C24,Begegnungen!$E$121=C24,Begegnungen!$E$122=C24,Begegnungen!$E$123=C24),Begegnungen!$E$127,""))</f>
        <v>1</v>
      </c>
      <c r="S24" s="273" t="str">
        <f>IF(OR(Begegnungen!$I$117=C24,Begegnungen!$I$118=C24,Begegnungen!$I$119=C24,Begegnungen!$I$120=C24,Begegnungen!$I$121=C24,Begegnungen!$I$122=C24,Begegnungen!$I$123=C24),Begegnungen!$I$127,IF(OR(Begegnungen!$K$117=C24,Begegnungen!$K$118=C24,Begegnungen!$K$119=C24,Begegnungen!$K$120=C24,Begegnungen!$K$121=C24,Begegnungen!$K$122=C24,Begegnungen!$K$123=C24),Begegnungen!$K$127,""))</f>
        <v/>
      </c>
      <c r="T24" s="273" t="str">
        <f>IF(OR(Begegnungen!$C151=C24,Begegnungen!$C$134=C24,Begegnungen!$C$135=C24,Begegnungen!$C$136=C24,Begegnungen!$C$137=C24,Begegnungen!$C$138=C24,Begegnungen!$C$139=C24),Begegnungen!$C$143,IF(OR(Begegnungen!$E$133=C24,Begegnungen!$E$134=C24,Begegnungen!$E$135=C24,Begegnungen!$E$136=C24,Begegnungen!$E$137=C24,Begegnungen!$E$138=C24,Begegnungen!$E$139=C24),Begegnungen!$E$143,""))</f>
        <v/>
      </c>
      <c r="U24" s="273">
        <f>IF(OR(Begegnungen!$I151=C24,Begegnungen!$I$134=C24,Begegnungen!$I$135=C24,Begegnungen!$I$136=C24,Begegnungen!$I$137=C24,Begegnungen!$I$138=C24,Begegnungen!$I$139=C24),Begegnungen!$I$143,IF(OR(Begegnungen!$K$133=C24,Begegnungen!$K$134=C24,Begegnungen!$K$135=C24,Begegnungen!$K$136=C24,Begegnungen!$K$137=C24,Begegnungen!$K$138=C24,Begegnungen!$K$139=C24),Begegnungen!$K$143,""))</f>
        <v>2</v>
      </c>
      <c r="V24" s="273" t="str">
        <f>IF(OR(Begegnungen!$C167=C24,Begegnungen!$C$150=C24,Begegnungen!$C$151=C24,Begegnungen!$C$152=C24,Begegnungen!$C$153=C24,Begegnungen!$C$154=C24,Begegnungen!$C$155=C24),Begegnungen!$C$159,IF(OR(Begegnungen!$E$149=C24,Begegnungen!$E$150=C24,Begegnungen!$E$151=C24,Begegnungen!$E$152=C24,Begegnungen!$E$153=C24,Begegnungen!$E$154=C24,Begegnungen!$E$155=C24),Begegnungen!$E$159,""))</f>
        <v/>
      </c>
      <c r="W24" s="273" t="str">
        <f>IF(OR(Begegnungen!$I167=C24,Begegnungen!$I$150=C24,Begegnungen!$I$151=C24,Begegnungen!$I$152=C24,Begegnungen!$I$153=C24,Begegnungen!$I$154=C24,Begegnungen!$I$155=C24),Begegnungen!$I$159,IF(OR(Begegnungen!$K$149=C24,Begegnungen!$K$150=C24,Begegnungen!$K$151=C24,Begegnungen!$K$152=C24,Begegnungen!$K$153=C24,Begegnungen!$K$154=C24,Begegnungen!$K$155=C24),Begegnungen!$K$159,""))</f>
        <v/>
      </c>
      <c r="X24" s="273" t="str">
        <f>IF(OR(Begegnungen!$C183=C24,Begegnungen!$C$166=C24,Begegnungen!$C$167=C24,Begegnungen!$C$168=C24,Begegnungen!$C$169=C24,Begegnungen!$C$170=C24,Begegnungen!$C$171=C24),Begegnungen!$C$175,IF(OR(Begegnungen!$E$165=C24,Begegnungen!$E$166=C24,Begegnungen!$E$167=C24,Begegnungen!$E$168=C24,Begegnungen!$E$169=C24,Begegnungen!$E$170=C24,Begegnungen!$E$171=C24),Begegnungen!$E$175,""))</f>
        <v/>
      </c>
      <c r="Y24" s="273" t="str">
        <f>IF(OR(Begegnungen!$I183=C24,Begegnungen!$I$166=C24,Begegnungen!$I$167=C24,Begegnungen!$I$168=C24,Begegnungen!$I$169=C24,Begegnungen!$I$170=C24,Begegnungen!$I$171=C24),Begegnungen!$I$175,IF(OR(Begegnungen!$K$165=C24,Begegnungen!$K$166=C24,Begegnungen!$K$167=C24,Begegnungen!$K$168=C24,Begegnungen!$K$169=C24,Begegnungen!$K$170=C24,Begegnungen!$K$171=C24),Begegnungen!$K$175,""))</f>
        <v/>
      </c>
      <c r="Z24" s="273" t="str">
        <f>IF(OR(Begegnungen!$C199=C24,Begegnungen!$C$182=C24,Begegnungen!$C$183=C24,Begegnungen!$C$184=C24,Begegnungen!$C$185=C24,Begegnungen!$C$186=C24,Begegnungen!$C$187=C24),Begegnungen!$C$191,IF(OR(Begegnungen!$E$181=C24,Begegnungen!$E$182=C24,Begegnungen!$E$183=C24,Begegnungen!$E$184=C24,Begegnungen!$E$185=C24,Begegnungen!$E$186=C24,Begegnungen!$E$187=C24),Begegnungen!$E$191,""))</f>
        <v/>
      </c>
      <c r="AA24" s="273" t="str">
        <f>IF(OR(Begegnungen!$I199=C24,Begegnungen!$I$182=C24,Begegnungen!$I$183=C24,Begegnungen!$I$184=C24,Begegnungen!$I$185=C24,Begegnungen!$I$186=C24,Begegnungen!$I$187=C24),Begegnungen!$I$191,IF(OR(Begegnungen!$K$181=C24,Begegnungen!$K$182=C24,Begegnungen!$K$183=C24,Begegnungen!$K$184=C24,Begegnungen!$K$185=C24,Begegnungen!$K$186=C24,Begegnungen!$K$187=C24),Begegnungen!$K$191,""))</f>
        <v/>
      </c>
      <c r="AB24" s="273" t="str">
        <f>IF(OR(Begegnungen!$C215=C24,Begegnungen!$C$198=C24,Begegnungen!$C$199=C24,Begegnungen!$C$200=C24,Begegnungen!$C$201=C24,Begegnungen!$C$202=C24,Begegnungen!$C$203=C24),Begegnungen!$C$207,IF(OR(Begegnungen!$E$197=C24,Begegnungen!$E$198=C24,Begegnungen!$E$199=C24,Begegnungen!$E$200=C24,Begegnungen!$E$201=C24,Begegnungen!$E$202=C24,Begegnungen!$E$203=C24),Begegnungen!$E$207,""))</f>
        <v/>
      </c>
      <c r="AC24" s="273" t="str">
        <f>IF(OR(Begegnungen!$I215=C24,Begegnungen!$I$198=C24,Begegnungen!$I$199=C24,Begegnungen!$I$200=C24,Begegnungen!$I$201=C24,Begegnungen!$I$202=C24,Begegnungen!$I$203=C24),Begegnungen!$I$207,IF(OR(Begegnungen!$K$197=C24,Begegnungen!$K$198=C24,Begegnungen!$K$199=C24,Begegnungen!$K$200=C24,Begegnungen!$K$201=C24,Begegnungen!$K$202=C24,Begegnungen!$K$203=C24),Begegnungen!$K$207,""))</f>
        <v/>
      </c>
      <c r="AD24" s="273">
        <f>IF(OR(Begegnungen!$C231=C24,Begegnungen!$C$214=C24,Begegnungen!$C$215=C24,Begegnungen!$C$216=C24,Begegnungen!$C$217=C24,Begegnungen!$C$218=C24,Begegnungen!$C$219=C24),Begegnungen!$C$223,IF(OR(Begegnungen!$E$213=C24,Begegnungen!$E$214=C24,Begegnungen!$E$215=C24,Begegnungen!$E$216=C24,Begegnungen!$E$217=C24,Begegnungen!$E$218=C24,Begegnungen!$E$219=C24),Begegnungen!$E$223,""))</f>
        <v>3</v>
      </c>
      <c r="AE24" s="273">
        <f>IF(OR(Begegnungen!$I231=C24,Begegnungen!$I$214=C24,Begegnungen!$I$215=C24,Begegnungen!$I$216=C24,Begegnungen!$I$217=C24,Begegnungen!$I$218=C24,Begegnungen!$I$219=C24),Begegnungen!$I$223,IF(OR(Begegnungen!$K$213=C24,Begegnungen!$K$214=C24,Begegnungen!$K$215=C24,Begegnungen!$K$216=C24,Begegnungen!$K$217=C24,Begegnungen!$K$218=C24,Begegnungen!$K$219=C24),Begegnungen!$K$223,""))</f>
        <v>5</v>
      </c>
      <c r="AF24" s="136">
        <f>IF(OR(Begegnungen!$C247=C24,Begegnungen!$C$230=C24,Begegnungen!$C$231=C24,Begegnungen!$C$232=C24,Begegnungen!$C$233=C24,Begegnungen!$C$234=C24,Begegnungen!$C$235=C24),Begegnungen!$C$239,IF(OR(Begegnungen!$E$229=C24,Begegnungen!$E$230=C24,Begegnungen!$E$231=C24,Begegnungen!$E$232=C24,Begegnungen!$E$233=C24,Begegnungen!$E$234=C24,Begegnungen!$E$235=C24),Begegnungen!$E$239,""))</f>
        <v>4</v>
      </c>
      <c r="AG24" s="273">
        <f>IF(OR(Begegnungen!$I247=C24,Begegnungen!$I$230=C24,Begegnungen!$I$231=C24,Begegnungen!$I$232=C24,Begegnungen!$I$233=C24,Begegnungen!$I$234=C24,Begegnungen!$I$235=C24),Begegnungen!$I$239,IF(OR(Begegnungen!$K$229=C24,Begegnungen!$K$230=C24,Begegnungen!$K$231=C24,Begegnungen!$K$232=C24,Begegnungen!$K$233=C24,Begegnungen!$K$234=C24,Begegnungen!$K$235=C24),Begegnungen!$K$239,""))</f>
        <v>1</v>
      </c>
      <c r="AH24" s="273" t="str">
        <f>IF(OR(Begegnungen!$C263=C24,Begegnungen!$C$246=C24,Begegnungen!$C$247=C24,Begegnungen!$C$248=C24,Begegnungen!$C$249=C24,Begegnungen!$C$250=C24,Begegnungen!$C$251=C24),Begegnungen!$C$255,IF(OR(Begegnungen!$E$245=C24,Begegnungen!$E$246=C24,Begegnungen!$E$247=C24,Begegnungen!$E$248=C24,Begegnungen!$E$249=C24,Begegnungen!$E$250=C24,Begegnungen!$E$251=C24),Begegnungen!$E$255,""))</f>
        <v/>
      </c>
      <c r="AI24" s="273">
        <f>IF(OR(Begegnungen!$I263=C24,Begegnungen!$I$246=C24,Begegnungen!$I$247=C24,Begegnungen!$I$248=C24,Begegnungen!$I$249=C24,Begegnungen!$I$250=C24,Begegnungen!$I$251=C24),Begegnungen!$I$255,IF(OR(Begegnungen!$K$245=C24,Begegnungen!$K$246=C24,Begegnungen!$K$247=C24,Begegnungen!$K$248=C24,Begegnungen!$K$249=C24,Begegnungen!$K$250=C24,Begegnungen!$K$251=C24),Begegnungen!$K$255,""))</f>
        <v>1</v>
      </c>
      <c r="AJ24" s="273" t="str">
        <f>IF(OR(Begegnungen!$C279=C24,Begegnungen!$C$262=C24,Begegnungen!$C$263=C24,Begegnungen!$C$264=C24,Begegnungen!$C$265=C24,Begegnungen!$C$266=C24,Begegnungen!$C$267=C24),Begegnungen!$C$271,IF(OR(Begegnungen!$E$261=C24,Begegnungen!$E$262=C24,Begegnungen!$E$263=C24,Begegnungen!$E$264=C24,Begegnungen!$E$265=C24,Begegnungen!$E$266=C24,Begegnungen!$E$267=C24),Begegnungen!$E$271,""))</f>
        <v/>
      </c>
      <c r="AK24" s="273">
        <f>IF(OR(Begegnungen!$I279=C24,Begegnungen!$I$262=C24,Begegnungen!$I$263=C24,Begegnungen!$I$264=C24,Begegnungen!$I$265=C24,Begegnungen!$I$266=C24,Begegnungen!$I$267=C24),Begegnungen!$I$271,IF(OR(Begegnungen!$K$261=C24,Begegnungen!$K$262=C24,Begegnungen!$K$263=C24,Begegnungen!$K$264=C24,Begegnungen!$K$265=C24,Begegnungen!$K$266=C24,Begegnungen!$K$267=C24),Begegnungen!$K$271,""))</f>
        <v>1</v>
      </c>
      <c r="AL24" s="273">
        <f>IF(OR(Begegnungen!$C295=C24,Begegnungen!$C$278=C24,Begegnungen!$C$279=C24,Begegnungen!$C$280=C24,Begegnungen!$C$281=C24,Begegnungen!$C$282=C24,Begegnungen!$C$283=C24),Begegnungen!$C$287,IF(OR(Begegnungen!$E$277=C24,Begegnungen!$E$278=C24,Begegnungen!$E$279=C24,Begegnungen!$E$280=C24,Begegnungen!$E$281=C24,Begegnungen!$E$282=C24,Begegnungen!$E$283=C24),Begegnungen!$E$287,""))</f>
        <v>3</v>
      </c>
      <c r="AM24" s="136">
        <f>IF(OR(Begegnungen!$I295=C24,Begegnungen!$I$278=C24,Begegnungen!$I$279=C24,Begegnungen!$I$280=C24,Begegnungen!$I$281=C24,Begegnungen!$I$282=C24,Begegnungen!$I$283=C24),Begegnungen!$I$287,IF(OR(Begegnungen!$K$277=C24,Begegnungen!$K$278=C24,Begegnungen!$K$279=C24,Begegnungen!$K$280=C24,Begegnungen!$K$281=C24,Begegnungen!$K$282=C24,Begegnungen!$K$283=C24),Begegnungen!$K$287,""))</f>
        <v>2</v>
      </c>
      <c r="AN24" s="273">
        <f>IF(OR(Begegnungen!$C311=C24,Begegnungen!$C$294=C24,Begegnungen!$C$295=C24,Begegnungen!$C$296=C24,Begegnungen!$C$297=C24,Begegnungen!$C$298=C24,Begegnungen!$C$299=C24),Begegnungen!$C$303,IF(OR(Begegnungen!$E$293=C24,Begegnungen!$E$294=C24,Begegnungen!$E$295=C24,Begegnungen!$E$296=C24,Begegnungen!$E$297=C24,Begegnungen!$E$298=C24,Begegnungen!$E$299=C24),Begegnungen!$E$303,""))</f>
        <v>0</v>
      </c>
      <c r="AO24" s="136">
        <f>IF(OR(Begegnungen!$I311=C24,Begegnungen!$I$294=C24,Begegnungen!$I$295=C24,Begegnungen!$I$296=C24,Begegnungen!$I$297=C24,Begegnungen!$I$298=C24,Begegnungen!$I$299=C24),Begegnungen!$I$303,IF(OR(Begegnungen!$K$293=C24,Begegnungen!$K$294=C24,Begegnungen!$K$295=C24,Begegnungen!$K$296=C24,Begegnungen!$K$297=C24,Begegnungen!$K$298=C24,Begegnungen!$K$299=C24),Begegnungen!$K$303,""))</f>
        <v>0</v>
      </c>
      <c r="AP24" s="136">
        <f>IF(OR(Begegnungen!$C327=C24,Begegnungen!$C$310=C24,Begegnungen!$C$311=C24,Begegnungen!$C$312=C24,Begegnungen!$C$313=C24,Begegnungen!$C$314=C24,Begegnungen!$C$315=C24),Begegnungen!$C$319,IF(OR(Begegnungen!$E$309=C24,Begegnungen!$E$310=C24,Begegnungen!$E$311=C24,Begegnungen!$E$312=C24,Begegnungen!$E$313=C24,Begegnungen!$E$314=C24,Begegnungen!$E$315=C24),Begegnungen!$E$319,""))</f>
        <v>7</v>
      </c>
      <c r="AQ24" s="273">
        <f>IF(OR(Begegnungen!$I327=C24,Begegnungen!$I$310=C24,Begegnungen!$I$311=C24,Begegnungen!$I$312=C24,Begegnungen!$I$313=C24,Begegnungen!$I$314=C24,Begegnungen!$I$315=C24),Begegnungen!$I$319,IF(OR(Begegnungen!$K$309=C24,Begegnungen!$K$310=C24,Begegnungen!$K$311=C24,Begegnungen!$K$312=C24,Begegnungen!$K$313=C24,Begegnungen!$K$314=C24,Begegnungen!$K$315=C24),Begegnungen!$K$319,""))</f>
        <v>4</v>
      </c>
      <c r="AR24" s="25">
        <f t="shared" ref="AR24:AR25" si="2">SUM(D24:AQ24)</f>
        <v>65</v>
      </c>
      <c r="AS24" s="139">
        <f>Spiele!AS25</f>
        <v>25</v>
      </c>
      <c r="AT24" s="140">
        <f t="shared" ref="AT24:AT25" si="3">AR24/AS24</f>
        <v>2.6</v>
      </c>
    </row>
    <row r="25" spans="2:46" x14ac:dyDescent="0.25">
      <c r="B25" s="4">
        <v>18</v>
      </c>
      <c r="C25" s="146" t="s">
        <v>123</v>
      </c>
      <c r="D25" s="272" t="str">
        <f>IF(OR(Begegnungen!$C$3=C25,Begegnungen!$C$4=C25,Begegnungen!$C$5=C25,Begegnungen!$C$6=C25,Begegnungen!$C$7=C25,Begegnungen!$C$8=C25,Begegnungen!$C$9=C25),Begegnungen!$C$13,IF(OR(Begegnungen!$E$3=C25,Begegnungen!$E$4=C25,Begegnungen!$E$5=C25,Begegnungen!$E$6=C25,Begegnungen!$E$7=C25,Begegnungen!$E$8=C25,Begegnungen!$E$9=C25),Begegnungen!$E$13,""))</f>
        <v/>
      </c>
      <c r="E25" s="273" t="str">
        <f>IF(OR(Begegnungen!$I$3=C25,Begegnungen!$I$4=C25,Begegnungen!$I$5=C25,Begegnungen!$I$6=C25,Begegnungen!$I$7=C25,Begegnungen!$I$8=C25,Begegnungen!$I$9=C25),Begegnungen!$I$13,IF(OR(Begegnungen!$K$3=C25,Begegnungen!$K$4=C25,Begegnungen!$K$5=C25,Begegnungen!$K$6=C25,Begegnungen!$K$7=C25,Begegnungen!$K$8=C25,Begegnungen!$K$9=C25),Begegnungen!$K$13,""))</f>
        <v/>
      </c>
      <c r="F25" s="273">
        <f>IF(OR(Begegnungen!$C$19=C25,Begegnungen!$C$20=C25,Begegnungen!$C$21=C25,Begegnungen!$C$22=C25,Begegnungen!$C$23=C25,Begegnungen!$C$24=C25,Begegnungen!$C$25=C25),Begegnungen!$C$29,IF(OR(Begegnungen!$E$19=C25,Begegnungen!$E$20=C25,Begegnungen!$E$21=C25,Begegnungen!$E$22=C25,Begegnungen!$E$23=C25,Begegnungen!$E$24=C25,Begegnungen!$E$25=C25),Begegnungen!$E$29,""))</f>
        <v>4</v>
      </c>
      <c r="G25" s="273">
        <f>IF(OR(Begegnungen!$I$19=C25,Begegnungen!$I$20=C25,Begegnungen!$I$21=C25,Begegnungen!$I$22=C25,Begegnungen!$I$23=C25,Begegnungen!$I$24=C25,Begegnungen!$I$25=C25),Begegnungen!$I$29,IF(OR(Begegnungen!$K$19=C25,Begegnungen!$K$20=C25,Begegnungen!$K$21=C25,Begegnungen!$K$22=C25,Begegnungen!$K$23=C25,Begegnungen!$K$24=C25,Begegnungen!$K$25=C25),Begegnungen!$K$29,""))</f>
        <v>2</v>
      </c>
      <c r="H25" s="273">
        <f>IF(OR(Begegnungen!$C$35=C25,Begegnungen!$C$36=C25,Begegnungen!$C$37=C25,Begegnungen!$C$38=C25,Begegnungen!$C$39=C25,Begegnungen!$C$40=C25,Begegnungen!$C$41=C25),Begegnungen!$C$46,IF(OR(Begegnungen!$E$35=C25,Begegnungen!$E$36=C25,Begegnungen!$E$37=C25,Begegnungen!$E$38=C25,Begegnungen!$E$39=C25,Begegnungen!$E$40=C25,Begegnungen!$E$41=C25),Begegnungen!$E$46,""))</f>
        <v>6</v>
      </c>
      <c r="I25" s="273">
        <f>IF(OR(Begegnungen!$I$35=C25,Begegnungen!$I$36=C25,Begegnungen!$I$37=C25,Begegnungen!$I$38=C25,Begegnungen!$I$39=C25,Begegnungen!$I$40=C25,Begegnungen!$I$41=C25),Begegnungen!$I$46,IF(OR(Begegnungen!$K$35=C25,Begegnungen!$K$36=C25,Begegnungen!$K$37=C25,Begegnungen!$K$38=C25,Begegnungen!$K$39=C25,Begegnungen!$K$40=C25,Begegnungen!$K$41=C25),Begegnungen!$K$46,""))</f>
        <v>3</v>
      </c>
      <c r="J25" s="136" t="str">
        <f>IF(OR(Begegnungen!$C$52=C25,Begegnungen!$C$53=C25,Begegnungen!$C$54=C25,Begegnungen!$C$55=C25,Begegnungen!$C$56=C25,Begegnungen!$C$57=C25,Begegnungen!$C$58=C25),Begegnungen!$C$62,IF(OR(Begegnungen!$E$52=C25,Begegnungen!$E$53=C25,Begegnungen!$E$54=C25,Begegnungen!$E$55=C25,Begegnungen!$E$56=C25,Begegnungen!$E$57=C25,Begegnungen!$E$58=C25),Begegnungen!$E$62,""))</f>
        <v/>
      </c>
      <c r="K25" s="273">
        <f>IF(OR(Begegnungen!$I$52=C25,Begegnungen!$I$53=C25,Begegnungen!$I$54=C25,Begegnungen!$I$55=C25,Begegnungen!$I$56=C25,Begegnungen!$I$57=C25,Begegnungen!$I$58=C25),Begegnungen!$I$62,IF(OR(Begegnungen!$K$52=C25,Begegnungen!$K$53=C25,Begegnungen!$K$54=C25,Begegnungen!$K$55=C25,Begegnungen!$K$56=C25,Begegnungen!$K$57=C25,Begegnungen!$K$58=C25),Begegnungen!$K$62,""))</f>
        <v>1</v>
      </c>
      <c r="L25" s="136" t="str">
        <f>IF(OR(Begegnungen!$C87=C25,Begegnungen!$C$69=C25,Begegnungen!$C$70=C25,Begegnungen!$C$71=C25,Begegnungen!$C$72=C25,Begegnungen!$C$73=C25,Begegnungen!$C$74=C25),Begegnungen!$C$78,IF(OR(Begegnungen!$E$68=C25,Begegnungen!$E$69=C25,Begegnungen!$E$70=C25,Begegnungen!$E$71=C25,Begegnungen!$E$72=C25,Begegnungen!$E$73=C25,Begegnungen!$E$74=C25),Begegnungen!$E$78,""))</f>
        <v/>
      </c>
      <c r="M25" s="273">
        <f>IF(OR(Begegnungen!$I87=C25,Begegnungen!$I$69=C25,Begegnungen!$I$70=C25,Begegnungen!$I$71=C25,Begegnungen!$I$72=C25,Begegnungen!$I$73=C25,Begegnungen!$I$74=C25),Begegnungen!$I$78,IF(OR(Begegnungen!$K$68=C25,Begegnungen!$K$69=C25,Begegnungen!$K$70=C25,Begegnungen!$K$71=C25,Begegnungen!$K$72=C25,Begegnungen!$K$73=C25,Begegnungen!$K$74=C25),Begegnungen!$K$78,""))</f>
        <v>1</v>
      </c>
      <c r="N25" s="273" t="str">
        <f>IF(OR(Begegnungen!$C104=C25,Begegnungen!$C$85=C25,Begegnungen!$C$86=C25,Begegnungen!$C$87=C25,Begegnungen!$C$88=C25,Begegnungen!$C$89=C25,Begegnungen!$C$90=C25),Begegnungen!$C$95,IF(OR(Begegnungen!$E$84=C25,Begegnungen!$E$85=C25,Begegnungen!$E$86=C25,Begegnungen!$E$87=C25,Begegnungen!$E$88=C25,Begegnungen!$E$89=C25,Begegnungen!$E$90=C25),Begegnungen!$E$95,""))</f>
        <v/>
      </c>
      <c r="O25" s="273">
        <f>IF(OR(Begegnungen!$I104=C25,Begegnungen!$I$85=C25,Begegnungen!$I$86=C25,Begegnungen!$I$87=C25,Begegnungen!$I$88=C25,Begegnungen!$I$89=C25,Begegnungen!$I$90=C25,Begegnungen!$I$91=C25),Begegnungen!$I$95,IF(OR(Begegnungen!$K$84=C25,Begegnungen!$K$85=C25,Begegnungen!$K$86=C25,Begegnungen!$K$87=C25,Begegnungen!$K$88=C25,Begegnungen!$K$89=C25,Begegnungen!$K$90=C25,Begegnungen!$K$91=C25),Begegnungen!$K$95,""))</f>
        <v>2</v>
      </c>
      <c r="P25" s="273">
        <f>IF(OR(Begegnungen!$C120=C25,Begegnungen!$C$102=C25,Begegnungen!$C$103=C25,Begegnungen!$C$104=C25,Begegnungen!$C$105=C25,Begegnungen!$C$106=C25,Begegnungen!$C$107=C25),Begegnungen!$C$111,IF(OR(Begegnungen!$E$101=C25,Begegnungen!$E$102=C25,Begegnungen!$E$103=C25,Begegnungen!$E$104=C25,Begegnungen!$E$105=C25,Begegnungen!$E$106=C25,Begegnungen!$E$107=C25),Begegnungen!$E$111,""))</f>
        <v>2</v>
      </c>
      <c r="Q25" s="273" t="str">
        <f>IF(OR(Begegnungen!$I120=C25,Begegnungen!$I$102=C25,Begegnungen!$I$103=C25,Begegnungen!$I$104=C25,Begegnungen!$I$105=C25,Begegnungen!$I$106=C25,Begegnungen!$I$107=C25),Begegnungen!$I$111,IF(OR(Begegnungen!$K$101=C25,Begegnungen!$K$102=C25,Begegnungen!$K$103=C25,Begegnungen!$K$104=C25,Begegnungen!$K$105=C25,Begegnungen!$K$106=C25,Begegnungen!$K$107=C25),Begegnungen!$K$111,""))</f>
        <v/>
      </c>
      <c r="R25" s="136" t="str">
        <f>IF(OR(Begegnungen!$C136=C25,Begegnungen!$C$118=C25,Begegnungen!$C$119=C25,Begegnungen!$C$120=C25,Begegnungen!$C$121=C25,Begegnungen!$C$122=C25,Begegnungen!$C$123=C25),Begegnungen!$C$127,IF(OR(Begegnungen!$E$117=C25,Begegnungen!$E$118=C25,Begegnungen!$E$119=C25,Begegnungen!$E$120=C25,Begegnungen!$E$121=C25,Begegnungen!$E$122=C25,Begegnungen!$E$123=C25),Begegnungen!$E$127,""))</f>
        <v/>
      </c>
      <c r="S25" s="273">
        <f>IF(OR(Begegnungen!$I$117=C25,Begegnungen!$I$118=C25,Begegnungen!$I$119=C25,Begegnungen!$I$120=C25,Begegnungen!$I$121=C25,Begegnungen!$I$122=C25,Begegnungen!$I$123=C25),Begegnungen!$I$127,IF(OR(Begegnungen!$K$117=C25,Begegnungen!$K$118=C25,Begegnungen!$K$119=C25,Begegnungen!$K$120=C25,Begegnungen!$K$121=C25,Begegnungen!$K$122=C25,Begegnungen!$K$123=C25),Begegnungen!$K$127,""))</f>
        <v>4</v>
      </c>
      <c r="T25" s="273">
        <f>IF(OR(Begegnungen!$C152=C25,Begegnungen!$C$134=C25,Begegnungen!$C$135=C25,Begegnungen!$C$136=C25,Begegnungen!$C$137=C25,Begegnungen!$C$138=C25,Begegnungen!$C$139=C25),Begegnungen!$C$143,IF(OR(Begegnungen!$E$133=C25,Begegnungen!$E$134=C25,Begegnungen!$E$135=C25,Begegnungen!$E$136=C25,Begegnungen!$E$137=C25,Begegnungen!$E$138=C25,Begegnungen!$E$139=C25),Begegnungen!$E$143,""))</f>
        <v>6</v>
      </c>
      <c r="U25" s="273">
        <f>IF(OR(Begegnungen!$I152=C25,Begegnungen!$I$134=C25,Begegnungen!$I$135=C25,Begegnungen!$I$136=C25,Begegnungen!$I$137=C25,Begegnungen!$I$138=C25,Begegnungen!$I$139=C25),Begegnungen!$I$143,IF(OR(Begegnungen!$K$133=C25,Begegnungen!$K$134=C25,Begegnungen!$K$135=C25,Begegnungen!$K$136=C25,Begegnungen!$K$137=C25,Begegnungen!$K$138=C25,Begegnungen!$K$139=C25),Begegnungen!$K$143,""))</f>
        <v>2</v>
      </c>
      <c r="V25" s="273" t="str">
        <f>IF(OR(Begegnungen!$C168=C25,Begegnungen!$C$150=C25,Begegnungen!$C$151=C25,Begegnungen!$C$152=C25,Begegnungen!$C$153=C25,Begegnungen!$C$154=C25,Begegnungen!$C$155=C25),Begegnungen!$C$159,IF(OR(Begegnungen!$E$149=C25,Begegnungen!$E$150=C25,Begegnungen!$E$151=C25,Begegnungen!$E$152=C25,Begegnungen!$E$153=C25,Begegnungen!$E$154=C25,Begegnungen!$E$155=C25),Begegnungen!$E$159,""))</f>
        <v/>
      </c>
      <c r="W25" s="273">
        <f>IF(OR(Begegnungen!$I168=C25,Begegnungen!$I$150=C25,Begegnungen!$I$151=C25,Begegnungen!$I$152=C25,Begegnungen!$I$153=C25,Begegnungen!$I$154=C25,Begegnungen!$I$155=C25),Begegnungen!$I$159,IF(OR(Begegnungen!$K$149=C25,Begegnungen!$K$150=C25,Begegnungen!$K$151=C25,Begegnungen!$K$152=C25,Begegnungen!$K$153=C25,Begegnungen!$K$154=C25,Begegnungen!$K$155=C25),Begegnungen!$K$159,""))</f>
        <v>10</v>
      </c>
      <c r="X25" s="273">
        <f>IF(OR(Begegnungen!$C184=C25,Begegnungen!$C$166=C25,Begegnungen!$C$167=C25,Begegnungen!$C$168=C25,Begegnungen!$C$169=C25,Begegnungen!$C$170=C25,Begegnungen!$C$171=C25),Begegnungen!$C$175,IF(OR(Begegnungen!$E$165=C25,Begegnungen!$E$166=C25,Begegnungen!$E$167=C25,Begegnungen!$E$168=C25,Begegnungen!$E$169=C25,Begegnungen!$E$170=C25,Begegnungen!$E$171=C25),Begegnungen!$E$175,""))</f>
        <v>7</v>
      </c>
      <c r="Y25" s="273" t="str">
        <f>IF(OR(Begegnungen!$I184=C25,Begegnungen!$I$166=C25,Begegnungen!$I$167=C25,Begegnungen!$I$168=C25,Begegnungen!$I$169=C25,Begegnungen!$I$170=C25,Begegnungen!$I$171=C25),Begegnungen!$I$175,IF(OR(Begegnungen!$K$165=C25,Begegnungen!$K$166=C25,Begegnungen!$K$167=C25,Begegnungen!$K$168=C25,Begegnungen!$K$169=C25,Begegnungen!$K$170=C25,Begegnungen!$K$171=C25),Begegnungen!$K$175,""))</f>
        <v/>
      </c>
      <c r="Z25" s="273">
        <f>IF(OR(Begegnungen!$C200=C25,Begegnungen!$C$182=C25,Begegnungen!$C$183=C25,Begegnungen!$C$184=C25,Begegnungen!$C$185=C25,Begegnungen!$C$186=C25,Begegnungen!$C$187=C25),Begegnungen!$C$191,IF(OR(Begegnungen!$E$181=C25,Begegnungen!$E$182=C25,Begegnungen!$E$183=C25,Begegnungen!$E$184=C25,Begegnungen!$E$185=C25,Begegnungen!$E$186=C25,Begegnungen!$E$187=C25),Begegnungen!$E$191,""))</f>
        <v>7</v>
      </c>
      <c r="AA25" s="273">
        <f>IF(OR(Begegnungen!$I200=C25,Begegnungen!$I$182=C25,Begegnungen!$I$183=C25,Begegnungen!$I$184=C25,Begegnungen!$I$185=C25,Begegnungen!$I$186=C25,Begegnungen!$I$187=C25),Begegnungen!$I$191,IF(OR(Begegnungen!$K$181=C25,Begegnungen!$K$182=C25,Begegnungen!$K$183=C25,Begegnungen!$K$184=C25,Begegnungen!$K$185=C25,Begegnungen!$K$186=C25,Begegnungen!$K$187=C25),Begegnungen!$K$191,""))</f>
        <v>8</v>
      </c>
      <c r="AB25" s="273">
        <f>IF(OR(Begegnungen!$C216=C25,Begegnungen!$C$198=C25,Begegnungen!$C$199=C25,Begegnungen!$C$200=C25,Begegnungen!$C$201=C25,Begegnungen!$C$202=C25,Begegnungen!$C$203=C25),Begegnungen!$C$207,IF(OR(Begegnungen!$E$197=C25,Begegnungen!$E$198=C25,Begegnungen!$E$199=C25,Begegnungen!$E$200=C25,Begegnungen!$E$201=C25,Begegnungen!$E$202=C25,Begegnungen!$E$203=C25),Begegnungen!$E$207,""))</f>
        <v>3</v>
      </c>
      <c r="AC25" s="273" t="str">
        <f>IF(OR(Begegnungen!$I216=C25,Begegnungen!$I$198=C25,Begegnungen!$I$199=C25,Begegnungen!$I$200=C25,Begegnungen!$I$201=C25,Begegnungen!$I$202=C25,Begegnungen!$I$203=C25),Begegnungen!$I$207,IF(OR(Begegnungen!$K$197=C25,Begegnungen!$K$198=C25,Begegnungen!$K$199=C25,Begegnungen!$K$200=C25,Begegnungen!$K$201=C25,Begegnungen!$K$202=C25,Begegnungen!$K$203=C25),Begegnungen!$K$207,""))</f>
        <v/>
      </c>
      <c r="AD25" s="273" t="str">
        <f>IF(OR(Begegnungen!$C232=C25,Begegnungen!$C$214=C25,Begegnungen!$C$215=C25,Begegnungen!$C$216=C25,Begegnungen!$C$217=C25,Begegnungen!$C$218=C25,Begegnungen!$C$219=C25),Begegnungen!$C$223,IF(OR(Begegnungen!$E$213=C25,Begegnungen!$E$214=C25,Begegnungen!$E$215=C25,Begegnungen!$E$216=C25,Begegnungen!$E$217=C25,Begegnungen!$E$218=C25,Begegnungen!$E$219=C25),Begegnungen!$E$223,""))</f>
        <v/>
      </c>
      <c r="AE25" s="273" t="str">
        <f>IF(OR(Begegnungen!$I232=C25,Begegnungen!$I$214=C25,Begegnungen!$I$215=C25,Begegnungen!$I$216=C25,Begegnungen!$I$217=C25,Begegnungen!$I$218=C25,Begegnungen!$I$219=C25),Begegnungen!$I$223,IF(OR(Begegnungen!$K$213=C25,Begegnungen!$K$214=C25,Begegnungen!$K$215=C25,Begegnungen!$K$216=C25,Begegnungen!$K$217=C25,Begegnungen!$K$218=C25,Begegnungen!$K$219=C25),Begegnungen!$K$223,""))</f>
        <v/>
      </c>
      <c r="AF25" s="136">
        <f>IF(OR(Begegnungen!$C248=C25,Begegnungen!$C$230=C25,Begegnungen!$C$231=C25,Begegnungen!$C$232=C25,Begegnungen!$C$233=C25,Begegnungen!$C$234=C25,Begegnungen!$C$235=C25),Begegnungen!$C$239,IF(OR(Begegnungen!$E$229=C25,Begegnungen!$E$230=C25,Begegnungen!$E$231=C25,Begegnungen!$E$232=C25,Begegnungen!$E$233=C25,Begegnungen!$E$234=C25,Begegnungen!$E$235=C25),Begegnungen!$E$239,""))</f>
        <v>4</v>
      </c>
      <c r="AG25" s="273">
        <f>IF(OR(Begegnungen!$I248=C25,Begegnungen!$I$230=C25,Begegnungen!$I$231=C25,Begegnungen!$I$232=C25,Begegnungen!$I$233=C25,Begegnungen!$I$234=C25,Begegnungen!$I$235=C25),Begegnungen!$I$239,IF(OR(Begegnungen!$K$229=C25,Begegnungen!$K$230=C25,Begegnungen!$K$231=C25,Begegnungen!$K$232=C25,Begegnungen!$K$233=C25,Begegnungen!$K$234=C25,Begegnungen!$K$235=C25),Begegnungen!$K$239,""))</f>
        <v>1</v>
      </c>
      <c r="AH25" s="273">
        <f>IF(OR(Begegnungen!$C264=C25,Begegnungen!$C$246=C25,Begegnungen!$C$247=C25,Begegnungen!$C$248=C25,Begegnungen!$C$249=C25,Begegnungen!$C$250=C25,Begegnungen!$C$251=C25),Begegnungen!$C$255,IF(OR(Begegnungen!$E$245=C25,Begegnungen!$E$246=C25,Begegnungen!$E$247=C25,Begegnungen!$E$248=C25,Begegnungen!$E$249=C25,Begegnungen!$E$250=C25,Begegnungen!$E$251=C25),Begegnungen!$E$255,""))</f>
        <v>4</v>
      </c>
      <c r="AI25" s="273">
        <f>IF(OR(Begegnungen!$I264=C25,Begegnungen!$I$246=C25,Begegnungen!$I$247=C25,Begegnungen!$I$248=C25,Begegnungen!$I$249=C25,Begegnungen!$I$250=C25,Begegnungen!$I$251=C25),Begegnungen!$I$255,IF(OR(Begegnungen!$K$245=C25,Begegnungen!$K$246=C25,Begegnungen!$K$247=C25,Begegnungen!$K$248=C25,Begegnungen!$K$249=C25,Begegnungen!$K$250=C25,Begegnungen!$K$251=C25),Begegnungen!$K$255,""))</f>
        <v>2</v>
      </c>
      <c r="AJ25" s="273">
        <f>IF(OR(Begegnungen!$C280=C25,Begegnungen!$C$262=C25,Begegnungen!$C$263=C25,Begegnungen!$C$264=C25,Begegnungen!$C$265=C25,Begegnungen!$C$266=C25,Begegnungen!$C$267=C25),Begegnungen!$C$271,IF(OR(Begegnungen!$E$261=C25,Begegnungen!$E$262=C25,Begegnungen!$E$263=C25,Begegnungen!$E$264=C25,Begegnungen!$E$265=C25,Begegnungen!$E$266=C25,Begegnungen!$E$267=C25),Begegnungen!$E$271,""))</f>
        <v>5</v>
      </c>
      <c r="AK25" s="273">
        <f>IF(OR(Begegnungen!$I280=C25,Begegnungen!$I$262=C25,Begegnungen!$I$263=C25,Begegnungen!$I$264=C25,Begegnungen!$I$265=C25,Begegnungen!$I$266=C25,Begegnungen!$I$267=C25),Begegnungen!$I$271,IF(OR(Begegnungen!$K$261=C25,Begegnungen!$K$262=C25,Begegnungen!$K$263=C25,Begegnungen!$K$264=C25,Begegnungen!$K$265=C25,Begegnungen!$K$266=C25,Begegnungen!$K$267=C25),Begegnungen!$K$271,""))</f>
        <v>1</v>
      </c>
      <c r="AL25" s="273" t="str">
        <f>IF(OR(Begegnungen!$C296=C25,Begegnungen!$C$278=C25,Begegnungen!$C$279=C25,Begegnungen!$C$280=C25,Begegnungen!$C$281=C25,Begegnungen!$C$282=C25,Begegnungen!$C$283=C25),Begegnungen!$C$287,IF(OR(Begegnungen!$E$277=C25,Begegnungen!$E$278=C25,Begegnungen!$E$279=C25,Begegnungen!$E$280=C25,Begegnungen!$E$281=C25,Begegnungen!$E$282=C25,Begegnungen!$E$283=C25),Begegnungen!$E$287,""))</f>
        <v/>
      </c>
      <c r="AM25" s="136" t="str">
        <f>IF(OR(Begegnungen!$I296=C25,Begegnungen!$I$278=C25,Begegnungen!$I$279=C25,Begegnungen!$I$280=C25,Begegnungen!$I$281=C25,Begegnungen!$I$282=C25,Begegnungen!$I$283=C25),Begegnungen!$I$287,IF(OR(Begegnungen!$K$277=C25,Begegnungen!$K$278=C25,Begegnungen!$K$279=C25,Begegnungen!$K$280=C25,Begegnungen!$K$281=C25,Begegnungen!$K$282=C25,Begegnungen!$K$283=C25),Begegnungen!$K$287,""))</f>
        <v/>
      </c>
      <c r="AN25" s="273" t="str">
        <f>IF(OR(Begegnungen!$C312=C25,Begegnungen!$C$294=C25,Begegnungen!$C$295=C25,Begegnungen!$C$296=C25,Begegnungen!$C$297=C25,Begegnungen!$C$298=C25,Begegnungen!$C$299=C25),Begegnungen!$C$303,IF(OR(Begegnungen!$E$293=C25,Begegnungen!$E$294=C25,Begegnungen!$E$295=C25,Begegnungen!$E$296=C25,Begegnungen!$E$297=C25,Begegnungen!$E$298=C25,Begegnungen!$E$299=C25),Begegnungen!$E$303,""))</f>
        <v/>
      </c>
      <c r="AO25" s="136" t="str">
        <f>IF(OR(Begegnungen!$I312=C25,Begegnungen!$I$294=C25,Begegnungen!$I$295=C25,Begegnungen!$I$296=C25,Begegnungen!$I$297=C25,Begegnungen!$I$298=C25,Begegnungen!$I$299=C25),Begegnungen!$I$303,IF(OR(Begegnungen!$K$293=C25,Begegnungen!$K$294=C25,Begegnungen!$K$295=C25,Begegnungen!$K$296=C25,Begegnungen!$K$297=C25,Begegnungen!$K$298=C25,Begegnungen!$K$299=C25),Begegnungen!$K$303,""))</f>
        <v/>
      </c>
      <c r="AP25" s="136" t="str">
        <f>IF(OR(Begegnungen!$C328=C25,Begegnungen!$C$310=C25,Begegnungen!$C$311=C25,Begegnungen!$C$312=C25,Begegnungen!$C$313=C25,Begegnungen!$C$314=C25,Begegnungen!$C$315=C25),Begegnungen!$C$319,IF(OR(Begegnungen!$E$309=C25,Begegnungen!$E$310=C25,Begegnungen!$E$311=C25,Begegnungen!$E$312=C25,Begegnungen!$E$313=C25,Begegnungen!$E$314=C25,Begegnungen!$E$315=C25),Begegnungen!$E$319,""))</f>
        <v/>
      </c>
      <c r="AQ25" s="273">
        <f>IF(OR(Begegnungen!$I328=C25,Begegnungen!$I$310=C25,Begegnungen!$I$311=C25,Begegnungen!$I$312=C25,Begegnungen!$I$313=C25,Begegnungen!$I$314=C25,Begegnungen!$I$315=C25),Begegnungen!$I$319,IF(OR(Begegnungen!$K$309=C25,Begegnungen!$K$310=C25,Begegnungen!$K$311=C25,Begegnungen!$K$312=C25,Begegnungen!$K$313=C25,Begegnungen!$K$314=C25,Begegnungen!$K$315=C25),Begegnungen!$K$319,""))</f>
        <v>1</v>
      </c>
      <c r="AR25" s="25">
        <f t="shared" si="2"/>
        <v>86</v>
      </c>
      <c r="AS25" s="139">
        <f>Spiele!AS26</f>
        <v>23</v>
      </c>
      <c r="AT25" s="140">
        <f t="shared" si="3"/>
        <v>3.7391304347826089</v>
      </c>
    </row>
    <row r="29" spans="2:46" ht="15.75" thickBot="1" x14ac:dyDescent="0.3"/>
    <row r="30" spans="2:46" ht="19.5" thickBot="1" x14ac:dyDescent="0.35">
      <c r="AP30" s="119" t="s">
        <v>57</v>
      </c>
      <c r="AQ30" s="116"/>
      <c r="AR30" s="117">
        <f>SUM(AR6:AR24)</f>
        <v>1035</v>
      </c>
    </row>
  </sheetData>
  <pageMargins left="0.7" right="0.7" top="0.78740157499999996" bottom="0.78740157499999996" header="0.3" footer="0.3"/>
  <pageSetup paperSize="8" scale="63" orientation="landscape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1"/>
  <sheetViews>
    <sheetView topLeftCell="A3" zoomScale="87" zoomScaleNormal="87" workbookViewId="0">
      <selection activeCell="L40" sqref="L40"/>
    </sheetView>
  </sheetViews>
  <sheetFormatPr defaultColWidth="11.42578125" defaultRowHeight="15" x14ac:dyDescent="0.25"/>
  <cols>
    <col min="1" max="1" width="16.28515625" bestFit="1" customWidth="1"/>
    <col min="2" max="14" width="12.140625" bestFit="1" customWidth="1"/>
    <col min="15" max="23" width="12.140625" customWidth="1"/>
    <col min="24" max="24" width="18.85546875" bestFit="1" customWidth="1"/>
  </cols>
  <sheetData>
    <row r="1" spans="1:24" ht="18.75" customHeight="1" x14ac:dyDescent="0.25">
      <c r="A1" s="340" t="s">
        <v>38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</row>
    <row r="2" spans="1:24" ht="18.75" customHeight="1" x14ac:dyDescent="0.25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</row>
    <row r="3" spans="1:24" ht="18.75" customHeight="1" x14ac:dyDescent="0.25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</row>
    <row r="4" spans="1:24" ht="15.75" thickBo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6.5" thickBot="1" x14ac:dyDescent="0.3">
      <c r="A5" s="77"/>
      <c r="B5" s="90" t="s">
        <v>39</v>
      </c>
      <c r="C5" s="90" t="s">
        <v>40</v>
      </c>
      <c r="D5" s="90" t="s">
        <v>41</v>
      </c>
      <c r="E5" s="90" t="s">
        <v>42</v>
      </c>
      <c r="F5" s="90" t="s">
        <v>43</v>
      </c>
      <c r="G5" s="90" t="s">
        <v>44</v>
      </c>
      <c r="H5" s="90" t="s">
        <v>45</v>
      </c>
      <c r="I5" s="90" t="s">
        <v>46</v>
      </c>
      <c r="J5" s="90" t="s">
        <v>47</v>
      </c>
      <c r="K5" s="90" t="s">
        <v>48</v>
      </c>
      <c r="L5" s="90" t="s">
        <v>49</v>
      </c>
      <c r="M5" s="90" t="s">
        <v>50</v>
      </c>
      <c r="N5" s="90" t="s">
        <v>51</v>
      </c>
      <c r="O5" s="90" t="s">
        <v>94</v>
      </c>
      <c r="P5" s="90" t="s">
        <v>95</v>
      </c>
      <c r="Q5" s="90" t="s">
        <v>96</v>
      </c>
      <c r="R5" s="90" t="s">
        <v>115</v>
      </c>
      <c r="S5" s="90" t="s">
        <v>116</v>
      </c>
      <c r="T5" s="90" t="s">
        <v>117</v>
      </c>
      <c r="U5" s="90" t="s">
        <v>118</v>
      </c>
      <c r="V5" s="90" t="s">
        <v>121</v>
      </c>
      <c r="W5" s="90" t="s">
        <v>130</v>
      </c>
      <c r="X5" s="166" t="s">
        <v>52</v>
      </c>
    </row>
    <row r="6" spans="1:24" ht="16.5" thickBot="1" x14ac:dyDescent="0.3">
      <c r="A6" s="81" t="s">
        <v>17</v>
      </c>
      <c r="B6" s="252">
        <v>36</v>
      </c>
      <c r="C6" s="91">
        <v>36</v>
      </c>
      <c r="D6" s="91">
        <v>31</v>
      </c>
      <c r="E6" s="91">
        <v>34</v>
      </c>
      <c r="F6" s="91">
        <v>33</v>
      </c>
      <c r="G6" s="91">
        <v>34</v>
      </c>
      <c r="H6" s="91">
        <v>31</v>
      </c>
      <c r="I6" s="91">
        <v>29</v>
      </c>
      <c r="J6" s="91">
        <v>33</v>
      </c>
      <c r="K6" s="91">
        <v>32</v>
      </c>
      <c r="L6" s="254">
        <v>36</v>
      </c>
      <c r="M6" s="254">
        <v>35</v>
      </c>
      <c r="N6" s="92">
        <v>31</v>
      </c>
      <c r="O6" s="162">
        <v>34</v>
      </c>
      <c r="P6" s="162">
        <v>32</v>
      </c>
      <c r="Q6" s="163">
        <v>23</v>
      </c>
      <c r="R6" s="255">
        <v>11</v>
      </c>
      <c r="S6" s="91">
        <v>26</v>
      </c>
      <c r="T6" s="164">
        <v>29</v>
      </c>
      <c r="U6" s="265">
        <v>29</v>
      </c>
      <c r="V6" s="265">
        <v>31</v>
      </c>
      <c r="W6" s="260"/>
      <c r="X6" s="237">
        <f>SUM(B6:W6)</f>
        <v>646</v>
      </c>
    </row>
    <row r="7" spans="1:24" ht="16.5" thickBot="1" x14ac:dyDescent="0.3">
      <c r="A7" s="84" t="s">
        <v>22</v>
      </c>
      <c r="B7" s="253">
        <v>39</v>
      </c>
      <c r="C7" s="94">
        <v>38</v>
      </c>
      <c r="D7" s="94">
        <v>33</v>
      </c>
      <c r="E7" s="94">
        <v>38</v>
      </c>
      <c r="F7" s="83">
        <v>37</v>
      </c>
      <c r="G7" s="94">
        <v>36</v>
      </c>
      <c r="H7" s="94">
        <v>36</v>
      </c>
      <c r="I7" s="83">
        <v>31</v>
      </c>
      <c r="J7" s="83">
        <v>30</v>
      </c>
      <c r="K7" s="83">
        <v>35</v>
      </c>
      <c r="L7" s="85">
        <v>30</v>
      </c>
      <c r="M7" s="85">
        <v>29</v>
      </c>
      <c r="N7" s="85">
        <v>30</v>
      </c>
      <c r="O7" s="83">
        <v>36</v>
      </c>
      <c r="P7" s="83">
        <v>28</v>
      </c>
      <c r="Q7" s="164">
        <v>17</v>
      </c>
      <c r="R7" s="83">
        <v>8</v>
      </c>
      <c r="S7" s="83">
        <v>23</v>
      </c>
      <c r="T7" s="233">
        <v>23</v>
      </c>
      <c r="U7" s="85">
        <v>29</v>
      </c>
      <c r="V7" s="85">
        <v>36</v>
      </c>
      <c r="W7" s="261"/>
      <c r="X7" s="237">
        <f>SUM(B7:W7)</f>
        <v>642</v>
      </c>
    </row>
    <row r="8" spans="1:24" ht="16.5" thickBot="1" x14ac:dyDescent="0.3">
      <c r="A8" s="84" t="s">
        <v>13</v>
      </c>
      <c r="B8" s="82">
        <v>33</v>
      </c>
      <c r="C8" s="83">
        <v>31</v>
      </c>
      <c r="D8" s="94">
        <v>33</v>
      </c>
      <c r="E8" s="83">
        <v>32</v>
      </c>
      <c r="F8" s="94">
        <v>38</v>
      </c>
      <c r="G8" s="83">
        <v>34</v>
      </c>
      <c r="H8" s="83">
        <v>31</v>
      </c>
      <c r="I8" s="83">
        <v>30</v>
      </c>
      <c r="J8" s="83">
        <v>27</v>
      </c>
      <c r="K8" s="83">
        <v>35</v>
      </c>
      <c r="L8" s="85">
        <v>32</v>
      </c>
      <c r="M8" s="85">
        <v>34</v>
      </c>
      <c r="N8" s="85">
        <v>30</v>
      </c>
      <c r="O8" s="83">
        <v>30</v>
      </c>
      <c r="P8" s="83">
        <v>25</v>
      </c>
      <c r="Q8" s="164">
        <v>23</v>
      </c>
      <c r="R8" s="83">
        <v>6</v>
      </c>
      <c r="S8" s="83">
        <v>27</v>
      </c>
      <c r="T8" s="233">
        <v>31</v>
      </c>
      <c r="U8" s="254">
        <v>32</v>
      </c>
      <c r="V8" s="254">
        <v>37</v>
      </c>
      <c r="W8" s="262"/>
      <c r="X8" s="237">
        <f>SUM(B8:W8)</f>
        <v>631</v>
      </c>
    </row>
    <row r="9" spans="1:24" ht="16.5" thickBot="1" x14ac:dyDescent="0.3">
      <c r="A9" s="84" t="s">
        <v>16</v>
      </c>
      <c r="B9" s="82">
        <v>26</v>
      </c>
      <c r="C9" s="83">
        <v>33</v>
      </c>
      <c r="D9" s="83">
        <v>30</v>
      </c>
      <c r="E9" s="83">
        <v>31</v>
      </c>
      <c r="F9" s="83">
        <v>35</v>
      </c>
      <c r="G9" s="83">
        <v>28</v>
      </c>
      <c r="H9" s="83">
        <v>28</v>
      </c>
      <c r="I9" s="83">
        <v>33</v>
      </c>
      <c r="J9" s="83">
        <v>28</v>
      </c>
      <c r="K9" s="95">
        <v>37</v>
      </c>
      <c r="L9" s="96">
        <v>27</v>
      </c>
      <c r="M9" s="96">
        <v>33</v>
      </c>
      <c r="N9" s="85">
        <v>27</v>
      </c>
      <c r="O9" s="83">
        <v>34</v>
      </c>
      <c r="P9" s="83">
        <v>29</v>
      </c>
      <c r="Q9" s="164">
        <v>21</v>
      </c>
      <c r="R9" s="95">
        <v>11</v>
      </c>
      <c r="S9" s="83">
        <v>24</v>
      </c>
      <c r="T9" s="233">
        <v>28</v>
      </c>
      <c r="U9" s="85">
        <v>29</v>
      </c>
      <c r="V9" s="85">
        <v>21</v>
      </c>
      <c r="W9" s="261"/>
      <c r="X9" s="237">
        <f>SUM(B9:W9)</f>
        <v>593</v>
      </c>
    </row>
    <row r="10" spans="1:24" ht="16.5" thickBot="1" x14ac:dyDescent="0.3">
      <c r="A10" s="84" t="s">
        <v>15</v>
      </c>
      <c r="B10" s="82">
        <v>10</v>
      </c>
      <c r="C10" s="83">
        <v>8</v>
      </c>
      <c r="D10" s="83">
        <v>21</v>
      </c>
      <c r="E10" s="83">
        <v>31</v>
      </c>
      <c r="F10" s="83">
        <v>29</v>
      </c>
      <c r="G10" s="83">
        <v>31</v>
      </c>
      <c r="H10" s="83">
        <v>34</v>
      </c>
      <c r="I10" s="83">
        <v>32</v>
      </c>
      <c r="J10" s="83">
        <v>33</v>
      </c>
      <c r="K10" s="83">
        <v>34</v>
      </c>
      <c r="L10" s="85">
        <v>31</v>
      </c>
      <c r="M10" s="93">
        <v>35</v>
      </c>
      <c r="N10" s="85">
        <v>28</v>
      </c>
      <c r="O10" s="83">
        <v>26</v>
      </c>
      <c r="P10" s="83">
        <v>28</v>
      </c>
      <c r="Q10" s="164">
        <v>16</v>
      </c>
      <c r="R10" s="83">
        <v>8</v>
      </c>
      <c r="S10" s="83">
        <v>23</v>
      </c>
      <c r="T10" s="233">
        <v>27</v>
      </c>
      <c r="U10" s="85">
        <v>18</v>
      </c>
      <c r="V10" s="85">
        <v>29</v>
      </c>
      <c r="W10" s="261"/>
      <c r="X10" s="237">
        <f>SUM(B10:W10)</f>
        <v>532</v>
      </c>
    </row>
    <row r="11" spans="1:24" ht="16.5" thickBot="1" x14ac:dyDescent="0.3">
      <c r="A11" s="84" t="s">
        <v>21</v>
      </c>
      <c r="B11" s="82">
        <v>37</v>
      </c>
      <c r="C11" s="83">
        <v>28</v>
      </c>
      <c r="D11" s="83">
        <v>29</v>
      </c>
      <c r="E11" s="83">
        <v>32</v>
      </c>
      <c r="F11" s="83">
        <v>27</v>
      </c>
      <c r="G11" s="83">
        <v>30</v>
      </c>
      <c r="H11" s="83">
        <v>26</v>
      </c>
      <c r="I11" s="83">
        <v>30</v>
      </c>
      <c r="J11" s="83">
        <v>24</v>
      </c>
      <c r="K11" s="83">
        <v>32</v>
      </c>
      <c r="L11" s="85">
        <v>28</v>
      </c>
      <c r="M11" s="85">
        <v>20</v>
      </c>
      <c r="N11" s="85">
        <v>14</v>
      </c>
      <c r="O11" s="83">
        <v>24</v>
      </c>
      <c r="P11" s="83">
        <v>0</v>
      </c>
      <c r="Q11" s="164">
        <v>10</v>
      </c>
      <c r="R11" s="83">
        <v>8</v>
      </c>
      <c r="S11" s="83">
        <v>23</v>
      </c>
      <c r="T11" s="233">
        <v>26</v>
      </c>
      <c r="U11" s="85">
        <v>23</v>
      </c>
      <c r="V11" s="85">
        <v>33</v>
      </c>
      <c r="W11" s="261"/>
      <c r="X11" s="237">
        <f>SUM(B11:W11)</f>
        <v>504</v>
      </c>
    </row>
    <row r="12" spans="1:24" ht="16.5" thickBot="1" x14ac:dyDescent="0.3">
      <c r="A12" s="84" t="s">
        <v>19</v>
      </c>
      <c r="B12" s="82"/>
      <c r="C12" s="83"/>
      <c r="D12" s="83"/>
      <c r="E12" s="83">
        <v>28</v>
      </c>
      <c r="F12" s="83">
        <v>36</v>
      </c>
      <c r="G12" s="94">
        <v>36</v>
      </c>
      <c r="H12" s="83">
        <v>34</v>
      </c>
      <c r="I12" s="94">
        <v>37</v>
      </c>
      <c r="J12" s="94">
        <v>35</v>
      </c>
      <c r="K12" s="83">
        <v>21</v>
      </c>
      <c r="L12" s="85">
        <v>24</v>
      </c>
      <c r="M12" s="85">
        <v>26</v>
      </c>
      <c r="N12" s="85">
        <v>5</v>
      </c>
      <c r="O12" s="83">
        <v>26</v>
      </c>
      <c r="P12" s="83">
        <v>27</v>
      </c>
      <c r="Q12" s="164">
        <v>17</v>
      </c>
      <c r="R12" s="83">
        <v>2</v>
      </c>
      <c r="S12" s="83">
        <v>5</v>
      </c>
      <c r="T12" s="233">
        <v>14</v>
      </c>
      <c r="U12" s="92">
        <v>16</v>
      </c>
      <c r="V12" s="92">
        <v>13</v>
      </c>
      <c r="W12" s="262"/>
      <c r="X12" s="237">
        <f>SUM(B12:W12)</f>
        <v>402</v>
      </c>
    </row>
    <row r="13" spans="1:24" ht="16.5" thickBot="1" x14ac:dyDescent="0.3">
      <c r="A13" s="84" t="s">
        <v>26</v>
      </c>
      <c r="B13" s="82">
        <v>34</v>
      </c>
      <c r="C13" s="83">
        <v>20</v>
      </c>
      <c r="D13" s="83">
        <v>24</v>
      </c>
      <c r="E13" s="83">
        <v>17</v>
      </c>
      <c r="F13" s="83">
        <v>34</v>
      </c>
      <c r="G13" s="83">
        <v>35</v>
      </c>
      <c r="H13" s="83">
        <v>23</v>
      </c>
      <c r="I13" s="83">
        <v>15</v>
      </c>
      <c r="J13" s="83">
        <v>34</v>
      </c>
      <c r="K13" s="83">
        <v>33</v>
      </c>
      <c r="L13" s="85">
        <v>33</v>
      </c>
      <c r="M13" s="85">
        <v>13</v>
      </c>
      <c r="N13" s="85">
        <v>31</v>
      </c>
      <c r="O13" s="83">
        <v>14</v>
      </c>
      <c r="P13" s="83">
        <v>0</v>
      </c>
      <c r="Q13" s="164">
        <v>0</v>
      </c>
      <c r="R13" s="83"/>
      <c r="S13" s="83"/>
      <c r="T13" s="233"/>
      <c r="U13" s="85"/>
      <c r="V13" s="85"/>
      <c r="W13" s="261"/>
      <c r="X13" s="237">
        <f>SUM(B13:W13)</f>
        <v>360</v>
      </c>
    </row>
    <row r="14" spans="1:24" ht="16.5" thickBot="1" x14ac:dyDescent="0.3">
      <c r="A14" s="84" t="s">
        <v>25</v>
      </c>
      <c r="B14" s="82">
        <v>16</v>
      </c>
      <c r="C14" s="83">
        <v>24</v>
      </c>
      <c r="D14" s="83">
        <v>28</v>
      </c>
      <c r="E14" s="83">
        <v>20</v>
      </c>
      <c r="F14" s="83">
        <v>3</v>
      </c>
      <c r="G14" s="83">
        <v>6</v>
      </c>
      <c r="H14" s="83">
        <v>1</v>
      </c>
      <c r="I14" s="83">
        <v>4</v>
      </c>
      <c r="J14" s="83">
        <v>3</v>
      </c>
      <c r="K14" s="83">
        <v>9</v>
      </c>
      <c r="L14" s="85">
        <v>9</v>
      </c>
      <c r="M14" s="85">
        <v>18</v>
      </c>
      <c r="N14" s="85">
        <v>9</v>
      </c>
      <c r="O14" s="83">
        <v>28</v>
      </c>
      <c r="P14" s="83">
        <v>34</v>
      </c>
      <c r="Q14" s="164">
        <v>19</v>
      </c>
      <c r="R14" s="83">
        <v>8</v>
      </c>
      <c r="S14" s="83">
        <v>26</v>
      </c>
      <c r="T14" s="233">
        <v>28</v>
      </c>
      <c r="U14" s="85">
        <v>26</v>
      </c>
      <c r="V14" s="85">
        <v>30</v>
      </c>
      <c r="W14" s="261"/>
      <c r="X14" s="237">
        <f>SUM(B14:W14)</f>
        <v>349</v>
      </c>
    </row>
    <row r="15" spans="1:24" ht="16.5" thickBot="1" x14ac:dyDescent="0.3">
      <c r="A15" s="84" t="s">
        <v>20</v>
      </c>
      <c r="B15" s="82">
        <v>31</v>
      </c>
      <c r="C15" s="83">
        <v>29</v>
      </c>
      <c r="D15" s="83">
        <v>24</v>
      </c>
      <c r="E15" s="83">
        <v>30</v>
      </c>
      <c r="F15" s="83">
        <v>21</v>
      </c>
      <c r="G15" s="83">
        <v>19</v>
      </c>
      <c r="H15" s="83">
        <v>26</v>
      </c>
      <c r="I15" s="83">
        <v>27</v>
      </c>
      <c r="J15" s="83">
        <v>25</v>
      </c>
      <c r="K15" s="83">
        <v>29</v>
      </c>
      <c r="L15" s="85">
        <v>25</v>
      </c>
      <c r="M15" s="85">
        <v>27</v>
      </c>
      <c r="N15" s="85">
        <v>24</v>
      </c>
      <c r="O15" s="83">
        <v>7</v>
      </c>
      <c r="P15" s="83">
        <v>0</v>
      </c>
      <c r="Q15" s="164">
        <v>0</v>
      </c>
      <c r="R15" s="83"/>
      <c r="S15" s="83"/>
      <c r="T15" s="233"/>
      <c r="U15" s="85"/>
      <c r="V15" s="85"/>
      <c r="W15" s="261"/>
      <c r="X15" s="237">
        <f>SUM(B15:W15)</f>
        <v>344</v>
      </c>
    </row>
    <row r="16" spans="1:24" ht="16.5" thickBot="1" x14ac:dyDescent="0.3">
      <c r="A16" s="84" t="s">
        <v>27</v>
      </c>
      <c r="B16" s="82"/>
      <c r="C16" s="83"/>
      <c r="D16" s="83">
        <v>17</v>
      </c>
      <c r="E16" s="83">
        <v>20</v>
      </c>
      <c r="F16" s="83">
        <v>16</v>
      </c>
      <c r="G16" s="83">
        <v>33</v>
      </c>
      <c r="H16" s="83">
        <v>25</v>
      </c>
      <c r="I16" s="83">
        <v>15</v>
      </c>
      <c r="J16" s="83">
        <v>15</v>
      </c>
      <c r="K16" s="83">
        <v>18</v>
      </c>
      <c r="L16" s="85">
        <v>16</v>
      </c>
      <c r="M16" s="85">
        <v>14</v>
      </c>
      <c r="N16" s="85">
        <v>15</v>
      </c>
      <c r="O16" s="83">
        <v>19</v>
      </c>
      <c r="P16" s="83">
        <v>27</v>
      </c>
      <c r="Q16" s="164">
        <v>16</v>
      </c>
      <c r="R16" s="83">
        <v>7</v>
      </c>
      <c r="S16" s="83">
        <v>13</v>
      </c>
      <c r="T16" s="233">
        <v>20</v>
      </c>
      <c r="U16" s="85">
        <v>16</v>
      </c>
      <c r="V16" s="85">
        <v>22</v>
      </c>
      <c r="W16" s="261"/>
      <c r="X16" s="237">
        <f>SUM(B16:W16)</f>
        <v>344</v>
      </c>
    </row>
    <row r="17" spans="1:24" ht="16.5" thickBot="1" x14ac:dyDescent="0.3">
      <c r="A17" s="84" t="s">
        <v>12</v>
      </c>
      <c r="B17" s="86"/>
      <c r="C17" s="87"/>
      <c r="D17" s="87"/>
      <c r="E17" s="87"/>
      <c r="F17" s="87"/>
      <c r="G17" s="87">
        <v>35</v>
      </c>
      <c r="H17" s="87">
        <v>32</v>
      </c>
      <c r="I17" s="87">
        <v>31</v>
      </c>
      <c r="J17" s="87">
        <v>36</v>
      </c>
      <c r="K17" s="87">
        <v>33</v>
      </c>
      <c r="L17" s="88">
        <v>30</v>
      </c>
      <c r="M17" s="88">
        <v>33</v>
      </c>
      <c r="N17" s="88">
        <v>24</v>
      </c>
      <c r="O17" s="83">
        <v>30</v>
      </c>
      <c r="P17" s="83">
        <v>28</v>
      </c>
      <c r="Q17" s="165">
        <v>18</v>
      </c>
      <c r="R17" s="83">
        <v>6</v>
      </c>
      <c r="S17" s="83"/>
      <c r="T17" s="233"/>
      <c r="U17" s="85"/>
      <c r="V17" s="85"/>
      <c r="W17" s="261"/>
      <c r="X17" s="237">
        <f>SUM(B17:W17)</f>
        <v>336</v>
      </c>
    </row>
    <row r="18" spans="1:24" ht="16.5" thickBot="1" x14ac:dyDescent="0.3">
      <c r="A18" s="84" t="s">
        <v>14</v>
      </c>
      <c r="B18" s="82"/>
      <c r="C18" s="83"/>
      <c r="D18" s="83"/>
      <c r="E18" s="83"/>
      <c r="F18" s="83"/>
      <c r="G18" s="83"/>
      <c r="H18" s="83"/>
      <c r="I18" s="83"/>
      <c r="J18" s="83">
        <v>29</v>
      </c>
      <c r="K18" s="95">
        <v>37</v>
      </c>
      <c r="L18" s="96">
        <v>34</v>
      </c>
      <c r="M18" s="96">
        <v>34</v>
      </c>
      <c r="N18" s="85">
        <v>25</v>
      </c>
      <c r="O18" s="83">
        <v>30</v>
      </c>
      <c r="P18" s="83">
        <v>37</v>
      </c>
      <c r="Q18" s="85">
        <v>23</v>
      </c>
      <c r="R18" s="83">
        <v>7</v>
      </c>
      <c r="S18" s="83">
        <v>12</v>
      </c>
      <c r="T18" s="233">
        <v>20</v>
      </c>
      <c r="U18" s="92">
        <v>11</v>
      </c>
      <c r="V18" s="92">
        <v>21</v>
      </c>
      <c r="W18" s="262"/>
      <c r="X18" s="237">
        <f>SUM(B18:W18)</f>
        <v>320</v>
      </c>
    </row>
    <row r="19" spans="1:24" ht="16.5" thickBot="1" x14ac:dyDescent="0.3">
      <c r="A19" s="84" t="s">
        <v>28</v>
      </c>
      <c r="B19" s="82"/>
      <c r="C19" s="83"/>
      <c r="D19" s="83"/>
      <c r="E19" s="83"/>
      <c r="F19" s="83"/>
      <c r="G19" s="83"/>
      <c r="H19" s="83"/>
      <c r="I19" s="83"/>
      <c r="J19" s="83"/>
      <c r="K19" s="83">
        <v>17</v>
      </c>
      <c r="L19" s="85">
        <v>26</v>
      </c>
      <c r="M19" s="85">
        <v>9</v>
      </c>
      <c r="N19" s="85">
        <v>0</v>
      </c>
      <c r="O19" s="83">
        <v>33</v>
      </c>
      <c r="P19" s="95">
        <v>38</v>
      </c>
      <c r="Q19" s="164">
        <v>23</v>
      </c>
      <c r="R19" s="83">
        <v>10</v>
      </c>
      <c r="S19" s="83">
        <v>24</v>
      </c>
      <c r="T19" s="258">
        <v>32</v>
      </c>
      <c r="U19" s="85">
        <v>29</v>
      </c>
      <c r="V19" s="85">
        <v>34</v>
      </c>
      <c r="W19" s="259"/>
      <c r="X19" s="237">
        <f>SUM(B19:W19)</f>
        <v>275</v>
      </c>
    </row>
    <row r="20" spans="1:24" ht="16.5" thickBot="1" x14ac:dyDescent="0.3">
      <c r="A20" s="84" t="s">
        <v>18</v>
      </c>
      <c r="B20" s="82">
        <v>28</v>
      </c>
      <c r="C20" s="83">
        <v>29</v>
      </c>
      <c r="D20" s="83">
        <v>14</v>
      </c>
      <c r="E20" s="83">
        <v>20</v>
      </c>
      <c r="F20" s="83">
        <v>21</v>
      </c>
      <c r="G20" s="83">
        <v>23</v>
      </c>
      <c r="H20" s="83">
        <v>10</v>
      </c>
      <c r="I20" s="83">
        <v>15</v>
      </c>
      <c r="J20" s="83">
        <v>6</v>
      </c>
      <c r="K20" s="83">
        <v>22</v>
      </c>
      <c r="L20" s="85">
        <v>21</v>
      </c>
      <c r="M20" s="85">
        <v>24</v>
      </c>
      <c r="N20" s="85">
        <v>11</v>
      </c>
      <c r="O20" s="83">
        <v>3</v>
      </c>
      <c r="P20" s="83">
        <v>5</v>
      </c>
      <c r="Q20" s="164">
        <v>1</v>
      </c>
      <c r="R20" s="83">
        <v>7</v>
      </c>
      <c r="S20" s="83">
        <v>2</v>
      </c>
      <c r="T20" s="233">
        <v>5</v>
      </c>
      <c r="U20" s="92">
        <v>3</v>
      </c>
      <c r="V20" s="92"/>
      <c r="W20" s="262"/>
      <c r="X20" s="237">
        <f>SUM(B20:W20)</f>
        <v>270</v>
      </c>
    </row>
    <row r="21" spans="1:24" ht="16.5" thickBot="1" x14ac:dyDescent="0.3">
      <c r="A21" s="84" t="s">
        <v>24</v>
      </c>
      <c r="B21" s="82"/>
      <c r="C21" s="83"/>
      <c r="D21" s="83"/>
      <c r="E21" s="83"/>
      <c r="F21" s="83"/>
      <c r="G21" s="83"/>
      <c r="H21" s="83">
        <v>12</v>
      </c>
      <c r="I21" s="83">
        <v>20</v>
      </c>
      <c r="J21" s="83">
        <v>29</v>
      </c>
      <c r="K21" s="83">
        <v>30</v>
      </c>
      <c r="L21" s="85">
        <v>28</v>
      </c>
      <c r="M21" s="85">
        <v>23</v>
      </c>
      <c r="N21" s="85">
        <v>29</v>
      </c>
      <c r="O21" s="83">
        <v>17</v>
      </c>
      <c r="P21" s="83">
        <v>23</v>
      </c>
      <c r="Q21" s="164">
        <v>0</v>
      </c>
      <c r="R21" s="83">
        <v>6</v>
      </c>
      <c r="S21" s="83">
        <v>1</v>
      </c>
      <c r="T21" s="233"/>
      <c r="U21" s="85"/>
      <c r="V21" s="85"/>
      <c r="W21" s="261"/>
      <c r="X21" s="237">
        <f>SUM(B21:W21)</f>
        <v>218</v>
      </c>
    </row>
    <row r="22" spans="1:24" ht="16.5" thickBot="1" x14ac:dyDescent="0.3">
      <c r="A22" s="84" t="s">
        <v>97</v>
      </c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5"/>
      <c r="M22" s="85"/>
      <c r="N22" s="85"/>
      <c r="O22" s="83">
        <v>6</v>
      </c>
      <c r="P22" s="83">
        <v>31</v>
      </c>
      <c r="Q22" s="164">
        <v>22</v>
      </c>
      <c r="R22" s="95">
        <v>11</v>
      </c>
      <c r="S22" s="95">
        <v>28</v>
      </c>
      <c r="T22" s="233">
        <v>27</v>
      </c>
      <c r="U22" s="85">
        <v>29</v>
      </c>
      <c r="V22" s="85">
        <v>16</v>
      </c>
      <c r="W22" s="261"/>
      <c r="X22" s="237">
        <f>SUM(B22:W22)</f>
        <v>170</v>
      </c>
    </row>
    <row r="23" spans="1:24" ht="16.5" thickBot="1" x14ac:dyDescent="0.3">
      <c r="A23" s="84" t="s">
        <v>23</v>
      </c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5"/>
      <c r="M23" s="85">
        <v>20</v>
      </c>
      <c r="N23" s="93">
        <v>37</v>
      </c>
      <c r="O23" s="95">
        <v>37</v>
      </c>
      <c r="P23" s="83">
        <v>35</v>
      </c>
      <c r="Q23" s="222">
        <v>24</v>
      </c>
      <c r="R23" s="224">
        <v>6</v>
      </c>
      <c r="S23" s="224"/>
      <c r="T23" s="234"/>
      <c r="U23" s="85"/>
      <c r="V23" s="85"/>
      <c r="W23" s="259"/>
      <c r="X23" s="237">
        <f>SUM(B23:W23)</f>
        <v>159</v>
      </c>
    </row>
    <row r="24" spans="1:24" ht="16.5" thickBot="1" x14ac:dyDescent="0.3">
      <c r="A24" s="84" t="s">
        <v>53</v>
      </c>
      <c r="B24" s="82">
        <v>29</v>
      </c>
      <c r="C24" s="83">
        <v>26</v>
      </c>
      <c r="D24" s="83"/>
      <c r="E24" s="83">
        <v>18</v>
      </c>
      <c r="F24" s="83">
        <v>14</v>
      </c>
      <c r="G24" s="83">
        <v>21</v>
      </c>
      <c r="H24" s="83">
        <v>8</v>
      </c>
      <c r="I24" s="83">
        <v>6</v>
      </c>
      <c r="J24" s="83">
        <v>10</v>
      </c>
      <c r="K24" s="83">
        <v>4</v>
      </c>
      <c r="L24" s="85">
        <v>4</v>
      </c>
      <c r="M24" s="85"/>
      <c r="N24" s="85"/>
      <c r="O24" s="83"/>
      <c r="P24" s="83"/>
      <c r="Q24" s="223"/>
      <c r="R24" s="224"/>
      <c r="S24" s="224"/>
      <c r="T24" s="234"/>
      <c r="U24" s="85"/>
      <c r="V24" s="85"/>
      <c r="W24" s="259"/>
      <c r="X24" s="237">
        <f>SUM(B24:W24)</f>
        <v>140</v>
      </c>
    </row>
    <row r="25" spans="1:24" ht="16.5" thickBot="1" x14ac:dyDescent="0.3">
      <c r="A25" s="84" t="s">
        <v>54</v>
      </c>
      <c r="B25" s="82"/>
      <c r="C25" s="83"/>
      <c r="D25" s="83">
        <v>5</v>
      </c>
      <c r="E25" s="83">
        <v>24</v>
      </c>
      <c r="F25" s="83">
        <v>26</v>
      </c>
      <c r="G25" s="83">
        <v>20</v>
      </c>
      <c r="H25" s="83">
        <v>12</v>
      </c>
      <c r="I25" s="83">
        <v>9</v>
      </c>
      <c r="J25" s="83">
        <v>1</v>
      </c>
      <c r="K25" s="83"/>
      <c r="L25" s="85"/>
      <c r="M25" s="85"/>
      <c r="N25" s="85"/>
      <c r="O25" s="83"/>
      <c r="P25" s="83"/>
      <c r="Q25" s="164"/>
      <c r="R25" s="83"/>
      <c r="S25" s="83"/>
      <c r="T25" s="233"/>
      <c r="U25" s="85"/>
      <c r="V25" s="85"/>
      <c r="W25" s="261"/>
      <c r="X25" s="237">
        <f>SUM(B25:W25)</f>
        <v>97</v>
      </c>
    </row>
    <row r="26" spans="1:24" ht="16.5" thickBot="1" x14ac:dyDescent="0.3">
      <c r="A26" s="168" t="s">
        <v>55</v>
      </c>
      <c r="B26" s="86">
        <v>21</v>
      </c>
      <c r="C26" s="87">
        <v>18</v>
      </c>
      <c r="D26" s="87">
        <v>11</v>
      </c>
      <c r="E26" s="87">
        <v>12</v>
      </c>
      <c r="F26" s="87">
        <v>12</v>
      </c>
      <c r="G26" s="87">
        <v>1</v>
      </c>
      <c r="H26" s="87">
        <v>1</v>
      </c>
      <c r="I26" s="87">
        <v>1</v>
      </c>
      <c r="J26" s="87"/>
      <c r="K26" s="87"/>
      <c r="L26" s="88"/>
      <c r="M26" s="88"/>
      <c r="N26" s="88"/>
      <c r="O26" s="87"/>
      <c r="P26" s="87"/>
      <c r="Q26" s="88"/>
      <c r="R26" s="83"/>
      <c r="S26" s="83"/>
      <c r="T26" s="235"/>
      <c r="U26" s="85"/>
      <c r="V26" s="85"/>
      <c r="W26" s="261"/>
      <c r="X26" s="237">
        <f>SUM(B26:W26)</f>
        <v>77</v>
      </c>
    </row>
    <row r="27" spans="1:24" ht="15.75" x14ac:dyDescent="0.25">
      <c r="A27" s="84" t="s">
        <v>119</v>
      </c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5"/>
      <c r="M27" s="85"/>
      <c r="N27" s="85"/>
      <c r="O27" s="83"/>
      <c r="P27" s="83"/>
      <c r="Q27" s="85"/>
      <c r="R27" s="83"/>
      <c r="S27" s="83"/>
      <c r="T27" s="233"/>
      <c r="U27" s="92">
        <v>13</v>
      </c>
      <c r="V27" s="92">
        <v>31</v>
      </c>
      <c r="W27" s="262"/>
      <c r="X27" s="237">
        <f>SUM(B27:W27)</f>
        <v>44</v>
      </c>
    </row>
    <row r="28" spans="1:24" ht="16.5" thickBot="1" x14ac:dyDescent="0.3">
      <c r="A28" s="311" t="s">
        <v>122</v>
      </c>
      <c r="B28" s="312"/>
      <c r="C28" s="313"/>
      <c r="D28" s="313"/>
      <c r="E28" s="313"/>
      <c r="F28" s="313"/>
      <c r="G28" s="313"/>
      <c r="H28" s="313"/>
      <c r="I28" s="313"/>
      <c r="J28" s="313"/>
      <c r="K28" s="313"/>
      <c r="L28" s="314"/>
      <c r="M28" s="314"/>
      <c r="N28" s="314"/>
      <c r="O28" s="313"/>
      <c r="P28" s="313"/>
      <c r="Q28" s="314"/>
      <c r="R28" s="91"/>
      <c r="S28" s="91"/>
      <c r="T28" s="165"/>
      <c r="U28" s="92"/>
      <c r="V28" s="92">
        <v>25</v>
      </c>
      <c r="W28" s="262"/>
      <c r="X28" s="315">
        <f>SUM(B28:W28)</f>
        <v>25</v>
      </c>
    </row>
    <row r="29" spans="1:24" ht="16.5" thickBot="1" x14ac:dyDescent="0.3">
      <c r="A29" s="97" t="s">
        <v>123</v>
      </c>
      <c r="B29" s="98"/>
      <c r="C29" s="89"/>
      <c r="D29" s="89"/>
      <c r="E29" s="89"/>
      <c r="F29" s="89"/>
      <c r="G29" s="89"/>
      <c r="H29" s="89"/>
      <c r="I29" s="89"/>
      <c r="J29" s="89"/>
      <c r="K29" s="89"/>
      <c r="L29" s="99"/>
      <c r="M29" s="99"/>
      <c r="N29" s="99"/>
      <c r="O29" s="89"/>
      <c r="P29" s="89"/>
      <c r="Q29" s="99"/>
      <c r="R29" s="89"/>
      <c r="S29" s="89"/>
      <c r="T29" s="236"/>
      <c r="U29" s="266"/>
      <c r="V29" s="266">
        <v>23</v>
      </c>
      <c r="W29" s="263"/>
      <c r="X29" s="264">
        <f>SUM(B29:W29)</f>
        <v>23</v>
      </c>
    </row>
    <row r="30" spans="1:24" ht="15.75" thickBot="1" x14ac:dyDescent="0.3"/>
    <row r="31" spans="1:24" ht="16.5" thickBot="1" x14ac:dyDescent="0.3">
      <c r="A31" s="100" t="s">
        <v>99</v>
      </c>
      <c r="B31" s="101">
        <v>40</v>
      </c>
      <c r="C31" s="102">
        <v>40</v>
      </c>
      <c r="D31" s="102">
        <v>36</v>
      </c>
      <c r="E31" s="102">
        <v>39</v>
      </c>
      <c r="F31" s="102">
        <v>41</v>
      </c>
      <c r="G31" s="102">
        <v>40</v>
      </c>
      <c r="H31" s="102">
        <v>38</v>
      </c>
      <c r="I31" s="102">
        <v>37</v>
      </c>
      <c r="J31" s="102">
        <v>39</v>
      </c>
      <c r="K31" s="102">
        <v>41</v>
      </c>
      <c r="L31" s="102">
        <v>38</v>
      </c>
      <c r="M31" s="102">
        <v>40</v>
      </c>
      <c r="N31" s="102">
        <v>37</v>
      </c>
      <c r="O31" s="102">
        <v>38</v>
      </c>
      <c r="P31" s="102">
        <v>40</v>
      </c>
      <c r="Q31" s="102">
        <v>25</v>
      </c>
      <c r="R31" s="102">
        <v>11</v>
      </c>
      <c r="S31" s="102">
        <v>29</v>
      </c>
      <c r="T31" s="102">
        <v>34</v>
      </c>
      <c r="U31" s="102">
        <v>32</v>
      </c>
      <c r="V31" s="102">
        <v>40</v>
      </c>
      <c r="W31" s="225"/>
    </row>
  </sheetData>
  <sortState xmlns:xlrd2="http://schemas.microsoft.com/office/spreadsheetml/2017/richdata2" ref="A6:X29">
    <sortCondition descending="1" ref="X6:X29"/>
  </sortState>
  <mergeCells count="1">
    <mergeCell ref="A1:X3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23"/>
  <sheetViews>
    <sheetView zoomScale="150" zoomScaleNormal="150" workbookViewId="0">
      <selection activeCell="G25" sqref="G25"/>
    </sheetView>
  </sheetViews>
  <sheetFormatPr defaultColWidth="11.42578125" defaultRowHeight="15" x14ac:dyDescent="0.25"/>
  <cols>
    <col min="1" max="1" width="18.140625" bestFit="1" customWidth="1"/>
  </cols>
  <sheetData>
    <row r="2" spans="1:5" x14ac:dyDescent="0.25">
      <c r="A2" s="103" t="s">
        <v>58</v>
      </c>
    </row>
    <row r="4" spans="1:5" x14ac:dyDescent="0.25">
      <c r="A4" s="31" t="s">
        <v>59</v>
      </c>
      <c r="B4" s="104">
        <v>33629</v>
      </c>
      <c r="C4">
        <v>1</v>
      </c>
      <c r="E4">
        <v>1</v>
      </c>
    </row>
    <row r="5" spans="1:5" x14ac:dyDescent="0.25">
      <c r="A5" s="31" t="s">
        <v>60</v>
      </c>
      <c r="B5" s="104">
        <v>29615</v>
      </c>
      <c r="C5">
        <v>1</v>
      </c>
      <c r="E5">
        <v>2</v>
      </c>
    </row>
    <row r="6" spans="1:5" x14ac:dyDescent="0.25">
      <c r="A6" s="31" t="s">
        <v>61</v>
      </c>
      <c r="B6" s="104">
        <v>26774</v>
      </c>
      <c r="C6">
        <v>4</v>
      </c>
      <c r="E6">
        <v>3</v>
      </c>
    </row>
    <row r="7" spans="1:5" x14ac:dyDescent="0.25">
      <c r="A7" s="31" t="s">
        <v>98</v>
      </c>
      <c r="B7" s="104">
        <v>31159</v>
      </c>
      <c r="C7">
        <v>4</v>
      </c>
      <c r="E7">
        <v>4</v>
      </c>
    </row>
    <row r="8" spans="1:5" x14ac:dyDescent="0.25">
      <c r="A8" s="31" t="s">
        <v>126</v>
      </c>
      <c r="B8" s="105">
        <v>31896</v>
      </c>
      <c r="C8">
        <v>4</v>
      </c>
      <c r="E8">
        <v>5</v>
      </c>
    </row>
    <row r="9" spans="1:5" x14ac:dyDescent="0.25">
      <c r="A9" s="31" t="s">
        <v>63</v>
      </c>
      <c r="B9" s="104">
        <v>22420</v>
      </c>
      <c r="C9">
        <v>5</v>
      </c>
      <c r="E9">
        <v>6</v>
      </c>
    </row>
    <row r="10" spans="1:5" x14ac:dyDescent="0.25">
      <c r="A10" s="31" t="s">
        <v>62</v>
      </c>
      <c r="B10" s="104">
        <v>22786</v>
      </c>
      <c r="C10">
        <v>5</v>
      </c>
      <c r="E10">
        <v>7</v>
      </c>
    </row>
    <row r="11" spans="1:5" x14ac:dyDescent="0.25">
      <c r="A11" s="31" t="s">
        <v>64</v>
      </c>
      <c r="B11" s="104">
        <v>23190</v>
      </c>
      <c r="C11">
        <v>6</v>
      </c>
      <c r="E11">
        <v>8</v>
      </c>
    </row>
    <row r="12" spans="1:5" x14ac:dyDescent="0.25">
      <c r="A12" s="31" t="s">
        <v>124</v>
      </c>
      <c r="B12" s="104">
        <v>32694</v>
      </c>
      <c r="C12">
        <v>7</v>
      </c>
      <c r="E12">
        <v>9</v>
      </c>
    </row>
    <row r="13" spans="1:5" x14ac:dyDescent="0.25">
      <c r="A13" s="31" t="s">
        <v>65</v>
      </c>
      <c r="B13" s="104">
        <v>28325</v>
      </c>
      <c r="C13">
        <v>7</v>
      </c>
      <c r="E13">
        <v>10</v>
      </c>
    </row>
    <row r="14" spans="1:5" x14ac:dyDescent="0.25">
      <c r="A14" s="31" t="s">
        <v>66</v>
      </c>
      <c r="B14" s="104">
        <v>33480</v>
      </c>
      <c r="C14">
        <v>8</v>
      </c>
      <c r="E14">
        <v>11</v>
      </c>
    </row>
    <row r="15" spans="1:5" x14ac:dyDescent="0.25">
      <c r="A15" s="31" t="s">
        <v>67</v>
      </c>
      <c r="B15" s="104">
        <v>26908</v>
      </c>
      <c r="C15">
        <v>9</v>
      </c>
      <c r="E15">
        <v>12</v>
      </c>
    </row>
    <row r="16" spans="1:5" x14ac:dyDescent="0.25">
      <c r="A16" s="31" t="s">
        <v>125</v>
      </c>
      <c r="B16" s="105">
        <v>31674</v>
      </c>
      <c r="C16">
        <v>9</v>
      </c>
      <c r="E16">
        <v>14</v>
      </c>
    </row>
    <row r="17" spans="1:5" x14ac:dyDescent="0.25">
      <c r="A17" s="31" t="s">
        <v>68</v>
      </c>
      <c r="B17" s="104">
        <v>29871</v>
      </c>
      <c r="C17">
        <v>10</v>
      </c>
      <c r="E17">
        <v>15</v>
      </c>
    </row>
    <row r="18" spans="1:5" x14ac:dyDescent="0.25">
      <c r="A18" s="31" t="s">
        <v>69</v>
      </c>
      <c r="B18" s="104">
        <v>22215</v>
      </c>
      <c r="C18">
        <v>10</v>
      </c>
      <c r="E18">
        <v>16</v>
      </c>
    </row>
    <row r="19" spans="1:5" x14ac:dyDescent="0.25">
      <c r="A19" s="31" t="s">
        <v>70</v>
      </c>
      <c r="B19" s="105">
        <v>21868</v>
      </c>
      <c r="C19">
        <v>11</v>
      </c>
      <c r="E19">
        <v>17</v>
      </c>
    </row>
    <row r="20" spans="1:5" x14ac:dyDescent="0.25">
      <c r="A20" s="31" t="s">
        <v>71</v>
      </c>
      <c r="B20" s="104">
        <v>22599</v>
      </c>
      <c r="C20">
        <v>11</v>
      </c>
      <c r="E20">
        <v>18</v>
      </c>
    </row>
    <row r="21" spans="1:5" x14ac:dyDescent="0.25">
      <c r="A21" s="31" t="s">
        <v>72</v>
      </c>
      <c r="B21" s="105">
        <v>31730</v>
      </c>
      <c r="C21">
        <v>11</v>
      </c>
      <c r="E21">
        <v>19</v>
      </c>
    </row>
    <row r="22" spans="1:5" x14ac:dyDescent="0.25">
      <c r="A22" s="31" t="s">
        <v>73</v>
      </c>
      <c r="B22" s="104">
        <v>22238</v>
      </c>
      <c r="C22">
        <v>11</v>
      </c>
      <c r="E22">
        <v>20</v>
      </c>
    </row>
    <row r="23" spans="1:5" x14ac:dyDescent="0.25">
      <c r="A23" s="31" t="s">
        <v>74</v>
      </c>
      <c r="B23" s="105">
        <v>27756</v>
      </c>
      <c r="C23">
        <v>12</v>
      </c>
      <c r="E23">
        <v>21</v>
      </c>
    </row>
  </sheetData>
  <sortState xmlns:xlrd2="http://schemas.microsoft.com/office/spreadsheetml/2017/richdata2" ref="A12:C13">
    <sortCondition ref="A12:A13"/>
  </sortState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R28" sqref="R28"/>
    </sheetView>
  </sheetViews>
  <sheetFormatPr defaultColWidth="11.42578125" defaultRowHeight="15" x14ac:dyDescent="0.25"/>
  <sheetData/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J50" sqref="J50"/>
    </sheetView>
  </sheetViews>
  <sheetFormatPr defaultColWidth="11.42578125" defaultRowHeight="15" x14ac:dyDescent="0.25"/>
  <sheetData/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5"/>
  <sheetViews>
    <sheetView zoomScaleNormal="100" workbookViewId="0">
      <selection activeCell="J30" sqref="J30"/>
    </sheetView>
  </sheetViews>
  <sheetFormatPr defaultColWidth="9.140625" defaultRowHeight="15" x14ac:dyDescent="0.25"/>
  <cols>
    <col min="2" max="2" width="14.85546875" customWidth="1"/>
    <col min="3" max="5" width="14.7109375" customWidth="1"/>
    <col min="7" max="7" width="25.7109375" customWidth="1"/>
  </cols>
  <sheetData>
    <row r="1" spans="1:12" ht="20.100000000000001" customHeight="1" thickBot="1" x14ac:dyDescent="0.3"/>
    <row r="2" spans="1:12" ht="20.100000000000001" customHeight="1" thickBot="1" x14ac:dyDescent="0.35">
      <c r="B2" s="213"/>
      <c r="C2" s="341" t="s">
        <v>110</v>
      </c>
      <c r="D2" s="342"/>
      <c r="E2" s="343"/>
      <c r="F2" s="202"/>
      <c r="G2" s="202"/>
      <c r="H2" s="202"/>
    </row>
    <row r="3" spans="1:12" ht="20.100000000000001" customHeight="1" x14ac:dyDescent="0.3">
      <c r="B3" s="214" t="s">
        <v>75</v>
      </c>
      <c r="C3" s="203">
        <v>1</v>
      </c>
      <c r="D3" s="204">
        <v>2</v>
      </c>
      <c r="E3" s="205">
        <v>3</v>
      </c>
      <c r="F3" s="202"/>
      <c r="G3" s="206" t="s">
        <v>111</v>
      </c>
      <c r="H3" s="207" t="s">
        <v>30</v>
      </c>
    </row>
    <row r="4" spans="1:12" ht="20.100000000000001" customHeight="1" x14ac:dyDescent="0.3">
      <c r="A4" s="9">
        <v>1</v>
      </c>
      <c r="B4" s="215" t="s">
        <v>39</v>
      </c>
      <c r="C4" s="208" t="s">
        <v>22</v>
      </c>
      <c r="D4" s="209" t="s">
        <v>17</v>
      </c>
      <c r="E4" s="210" t="s">
        <v>26</v>
      </c>
      <c r="F4" s="202"/>
      <c r="G4" s="211" t="s">
        <v>26</v>
      </c>
      <c r="H4" s="212">
        <v>45</v>
      </c>
    </row>
    <row r="5" spans="1:12" ht="20.100000000000001" customHeight="1" x14ac:dyDescent="0.3">
      <c r="A5" s="9">
        <v>2</v>
      </c>
      <c r="B5" s="215" t="s">
        <v>40</v>
      </c>
      <c r="C5" s="208" t="s">
        <v>22</v>
      </c>
      <c r="D5" s="209" t="s">
        <v>16</v>
      </c>
      <c r="E5" s="210" t="s">
        <v>17</v>
      </c>
      <c r="F5" s="202"/>
      <c r="G5" s="211" t="s">
        <v>22</v>
      </c>
      <c r="H5" s="212">
        <v>33</v>
      </c>
    </row>
    <row r="6" spans="1:12" ht="20.100000000000001" customHeight="1" x14ac:dyDescent="0.3">
      <c r="A6" s="9">
        <v>3</v>
      </c>
      <c r="B6" s="215" t="s">
        <v>41</v>
      </c>
      <c r="C6" s="208" t="s">
        <v>16</v>
      </c>
      <c r="D6" s="209" t="s">
        <v>13</v>
      </c>
      <c r="E6" s="210" t="s">
        <v>21</v>
      </c>
      <c r="F6" s="202"/>
      <c r="G6" s="211" t="s">
        <v>22</v>
      </c>
      <c r="H6" s="212">
        <v>27</v>
      </c>
    </row>
    <row r="7" spans="1:12" ht="20.100000000000001" customHeight="1" x14ac:dyDescent="0.3">
      <c r="A7" s="9">
        <v>4</v>
      </c>
      <c r="B7" s="215" t="s">
        <v>42</v>
      </c>
      <c r="C7" s="208" t="s">
        <v>16</v>
      </c>
      <c r="D7" s="209" t="s">
        <v>22</v>
      </c>
      <c r="E7" s="210" t="s">
        <v>15</v>
      </c>
      <c r="F7" s="202"/>
      <c r="G7" s="211" t="s">
        <v>22</v>
      </c>
      <c r="H7" s="212">
        <v>37</v>
      </c>
    </row>
    <row r="8" spans="1:12" ht="20.100000000000001" customHeight="1" x14ac:dyDescent="0.3">
      <c r="A8" s="9">
        <v>5</v>
      </c>
      <c r="B8" s="215" t="s">
        <v>43</v>
      </c>
      <c r="C8" s="208" t="s">
        <v>16</v>
      </c>
      <c r="D8" s="209" t="s">
        <v>13</v>
      </c>
      <c r="E8" s="210" t="s">
        <v>22</v>
      </c>
      <c r="F8" s="202"/>
      <c r="G8" s="211" t="s">
        <v>26</v>
      </c>
      <c r="H8" s="212">
        <v>54</v>
      </c>
    </row>
    <row r="9" spans="1:12" ht="20.100000000000001" customHeight="1" x14ac:dyDescent="0.3">
      <c r="A9" s="9">
        <v>6</v>
      </c>
      <c r="B9" s="215" t="s">
        <v>44</v>
      </c>
      <c r="C9" s="208" t="s">
        <v>26</v>
      </c>
      <c r="D9" s="209" t="s">
        <v>22</v>
      </c>
      <c r="E9" s="210" t="s">
        <v>21</v>
      </c>
      <c r="F9" s="202"/>
      <c r="G9" s="211" t="s">
        <v>26</v>
      </c>
      <c r="H9" s="212">
        <v>36</v>
      </c>
    </row>
    <row r="10" spans="1:12" ht="20.100000000000001" customHeight="1" x14ac:dyDescent="0.3">
      <c r="A10" s="9">
        <v>7</v>
      </c>
      <c r="B10" s="215" t="s">
        <v>45</v>
      </c>
      <c r="C10" s="208" t="s">
        <v>15</v>
      </c>
      <c r="D10" s="209" t="s">
        <v>22</v>
      </c>
      <c r="E10" s="210" t="s">
        <v>13</v>
      </c>
      <c r="F10" s="202"/>
      <c r="G10" s="211" t="s">
        <v>22</v>
      </c>
      <c r="H10" s="212">
        <v>28</v>
      </c>
    </row>
    <row r="11" spans="1:12" ht="20.100000000000001" customHeight="1" x14ac:dyDescent="0.3">
      <c r="A11" s="9">
        <v>8</v>
      </c>
      <c r="B11" s="215" t="s">
        <v>46</v>
      </c>
      <c r="C11" s="208" t="s">
        <v>19</v>
      </c>
      <c r="D11" s="209" t="s">
        <v>22</v>
      </c>
      <c r="E11" s="210" t="s">
        <v>16</v>
      </c>
      <c r="F11" s="202"/>
      <c r="G11" s="211" t="s">
        <v>22</v>
      </c>
      <c r="H11" s="212">
        <v>20</v>
      </c>
      <c r="L11" s="201"/>
    </row>
    <row r="12" spans="1:12" ht="20.100000000000001" customHeight="1" x14ac:dyDescent="0.3">
      <c r="A12" s="9">
        <v>9</v>
      </c>
      <c r="B12" s="215" t="s">
        <v>47</v>
      </c>
      <c r="C12" s="208" t="s">
        <v>14</v>
      </c>
      <c r="D12" s="209" t="s">
        <v>24</v>
      </c>
      <c r="E12" s="210" t="s">
        <v>16</v>
      </c>
      <c r="F12" s="202"/>
      <c r="G12" s="211" t="s">
        <v>15</v>
      </c>
      <c r="H12" s="212">
        <v>24</v>
      </c>
    </row>
    <row r="13" spans="1:12" ht="20.100000000000001" customHeight="1" x14ac:dyDescent="0.3">
      <c r="A13" s="9">
        <v>10</v>
      </c>
      <c r="B13" s="215" t="s">
        <v>48</v>
      </c>
      <c r="C13" s="208" t="s">
        <v>15</v>
      </c>
      <c r="D13" s="209" t="s">
        <v>14</v>
      </c>
      <c r="E13" s="210" t="s">
        <v>22</v>
      </c>
      <c r="F13" s="202"/>
      <c r="G13" s="211" t="s">
        <v>112</v>
      </c>
      <c r="H13" s="212">
        <v>20</v>
      </c>
    </row>
    <row r="14" spans="1:12" ht="20.100000000000001" customHeight="1" x14ac:dyDescent="0.3">
      <c r="A14" s="9">
        <v>11</v>
      </c>
      <c r="B14" s="215" t="s">
        <v>49</v>
      </c>
      <c r="C14" s="208" t="s">
        <v>13</v>
      </c>
      <c r="D14" s="209" t="s">
        <v>26</v>
      </c>
      <c r="E14" s="210" t="s">
        <v>14</v>
      </c>
      <c r="F14" s="202"/>
      <c r="G14" s="211" t="s">
        <v>26</v>
      </c>
      <c r="H14" s="212">
        <v>33</v>
      </c>
    </row>
    <row r="15" spans="1:12" ht="20.100000000000001" customHeight="1" x14ac:dyDescent="0.3">
      <c r="A15" s="9">
        <v>12</v>
      </c>
      <c r="B15" s="215" t="s">
        <v>50</v>
      </c>
      <c r="C15" s="208" t="s">
        <v>12</v>
      </c>
      <c r="D15" s="209" t="s">
        <v>13</v>
      </c>
      <c r="E15" s="210" t="s">
        <v>14</v>
      </c>
      <c r="F15" s="202"/>
      <c r="G15" s="211" t="s">
        <v>114</v>
      </c>
      <c r="H15" s="212">
        <v>16</v>
      </c>
    </row>
    <row r="16" spans="1:12" ht="20.100000000000001" customHeight="1" x14ac:dyDescent="0.3">
      <c r="A16" s="9">
        <v>13</v>
      </c>
      <c r="B16" s="215" t="s">
        <v>51</v>
      </c>
      <c r="C16" s="208" t="s">
        <v>23</v>
      </c>
      <c r="D16" s="209" t="s">
        <v>26</v>
      </c>
      <c r="E16" s="210" t="s">
        <v>13</v>
      </c>
      <c r="F16" s="202"/>
      <c r="G16" s="211" t="s">
        <v>113</v>
      </c>
      <c r="H16" s="212">
        <v>25</v>
      </c>
    </row>
    <row r="17" spans="1:8" ht="20.100000000000001" customHeight="1" x14ac:dyDescent="0.3">
      <c r="A17" s="9">
        <v>14</v>
      </c>
      <c r="B17" s="215" t="s">
        <v>94</v>
      </c>
      <c r="C17" s="208" t="s">
        <v>16</v>
      </c>
      <c r="D17" s="209" t="s">
        <v>23</v>
      </c>
      <c r="E17" s="210" t="s">
        <v>17</v>
      </c>
      <c r="F17" s="202"/>
      <c r="G17" s="211" t="s">
        <v>22</v>
      </c>
      <c r="H17" s="212">
        <v>15</v>
      </c>
    </row>
    <row r="18" spans="1:8" ht="20.100000000000001" customHeight="1" x14ac:dyDescent="0.3">
      <c r="A18" s="9">
        <v>15</v>
      </c>
      <c r="B18" s="215" t="s">
        <v>95</v>
      </c>
      <c r="C18" s="208" t="s">
        <v>28</v>
      </c>
      <c r="D18" s="209" t="s">
        <v>14</v>
      </c>
      <c r="E18" s="210" t="s">
        <v>23</v>
      </c>
      <c r="F18" s="202"/>
      <c r="G18" s="211" t="s">
        <v>56</v>
      </c>
      <c r="H18" s="212">
        <v>25</v>
      </c>
    </row>
    <row r="19" spans="1:8" ht="18.75" x14ac:dyDescent="0.3">
      <c r="A19" s="9">
        <v>16</v>
      </c>
      <c r="B19" s="215" t="s">
        <v>96</v>
      </c>
      <c r="C19" s="208" t="s">
        <v>23</v>
      </c>
      <c r="D19" s="209" t="s">
        <v>14</v>
      </c>
      <c r="E19" s="210" t="s">
        <v>28</v>
      </c>
      <c r="G19" s="211" t="s">
        <v>14</v>
      </c>
      <c r="H19" s="212">
        <v>16</v>
      </c>
    </row>
    <row r="20" spans="1:8" ht="18.75" x14ac:dyDescent="0.3">
      <c r="A20" s="9">
        <v>17</v>
      </c>
      <c r="B20" s="215" t="s">
        <v>115</v>
      </c>
      <c r="C20" s="208" t="s">
        <v>22</v>
      </c>
      <c r="D20" s="209" t="s">
        <v>17</v>
      </c>
      <c r="E20" s="210" t="s">
        <v>23</v>
      </c>
      <c r="G20" s="211" t="s">
        <v>56</v>
      </c>
      <c r="H20" s="212">
        <v>5</v>
      </c>
    </row>
    <row r="21" spans="1:8" ht="18.75" x14ac:dyDescent="0.3">
      <c r="A21" s="9">
        <v>18</v>
      </c>
      <c r="B21" s="215" t="s">
        <v>116</v>
      </c>
      <c r="C21" s="208" t="s">
        <v>15</v>
      </c>
      <c r="D21" s="209" t="s">
        <v>25</v>
      </c>
      <c r="E21" s="210" t="s">
        <v>17</v>
      </c>
      <c r="G21" s="211" t="s">
        <v>56</v>
      </c>
      <c r="H21" s="212">
        <v>28</v>
      </c>
    </row>
    <row r="22" spans="1:8" ht="18.75" x14ac:dyDescent="0.3">
      <c r="A22" s="9">
        <v>19</v>
      </c>
      <c r="B22" s="215" t="s">
        <v>117</v>
      </c>
      <c r="C22" s="208" t="s">
        <v>28</v>
      </c>
      <c r="D22" s="209" t="s">
        <v>13</v>
      </c>
      <c r="E22" s="210" t="s">
        <v>16</v>
      </c>
      <c r="G22" s="211" t="s">
        <v>56</v>
      </c>
      <c r="H22" s="212">
        <v>26</v>
      </c>
    </row>
    <row r="23" spans="1:8" ht="18.75" x14ac:dyDescent="0.3">
      <c r="A23" s="9">
        <v>20</v>
      </c>
      <c r="B23" s="215" t="s">
        <v>118</v>
      </c>
      <c r="C23" s="208" t="s">
        <v>16</v>
      </c>
      <c r="D23" s="209" t="s">
        <v>17</v>
      </c>
      <c r="E23" s="210" t="s">
        <v>25</v>
      </c>
      <c r="G23" s="211" t="s">
        <v>56</v>
      </c>
      <c r="H23" s="212">
        <v>31</v>
      </c>
    </row>
    <row r="24" spans="1:8" ht="18.75" x14ac:dyDescent="0.3">
      <c r="A24" s="9"/>
      <c r="B24" s="215" t="s">
        <v>121</v>
      </c>
      <c r="C24" s="208" t="s">
        <v>13</v>
      </c>
      <c r="D24" s="209" t="s">
        <v>28</v>
      </c>
      <c r="E24" s="210" t="s">
        <v>22</v>
      </c>
      <c r="G24" s="211" t="s">
        <v>119</v>
      </c>
      <c r="H24" s="212">
        <v>33</v>
      </c>
    </row>
    <row r="25" spans="1:8" ht="19.5" thickBot="1" x14ac:dyDescent="0.35">
      <c r="B25" s="216" t="s">
        <v>130</v>
      </c>
      <c r="C25" s="217"/>
      <c r="D25" s="218"/>
      <c r="E25" s="219"/>
      <c r="G25" s="220"/>
      <c r="H25" s="221"/>
    </row>
  </sheetData>
  <mergeCells count="1">
    <mergeCell ref="C2:E2"/>
  </mergeCells>
  <pageMargins left="0.7" right="0.7" top="0.75" bottom="0.75" header="0.3" footer="0.3"/>
  <pageSetup paperSize="9" scale="77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Rangliste</vt:lpstr>
      <vt:lpstr>Rangliste (2)</vt:lpstr>
      <vt:lpstr>Begegnungen</vt:lpstr>
      <vt:lpstr>Tore</vt:lpstr>
      <vt:lpstr>Tore (2)</vt:lpstr>
      <vt:lpstr>Spiele</vt:lpstr>
      <vt:lpstr>Gegentore</vt:lpstr>
      <vt:lpstr>Teamtore</vt:lpstr>
      <vt:lpstr>Anwesenheit</vt:lpstr>
      <vt:lpstr>Geburtstage</vt:lpstr>
      <vt:lpstr>Statistik</vt:lpstr>
      <vt:lpstr>Spieler-Statistik</vt:lpstr>
      <vt:lpstr>MotY</vt:lpstr>
      <vt:lpstr>MotY!Print_Area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Blaschek</dc:creator>
  <cp:lastModifiedBy>Schmid Harald</cp:lastModifiedBy>
  <cp:lastPrinted>2022-06-29T05:45:37Z</cp:lastPrinted>
  <dcterms:created xsi:type="dcterms:W3CDTF">2016-07-26T11:01:17Z</dcterms:created>
  <dcterms:modified xsi:type="dcterms:W3CDTF">2025-06-25T09:30:31Z</dcterms:modified>
</cp:coreProperties>
</file>